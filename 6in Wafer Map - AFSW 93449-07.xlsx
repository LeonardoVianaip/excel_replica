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7700" yWindow="790" windowWidth="20890" windowHeight="17290" tabRatio="600" firstSheet="0" activeTab="0" autoFilterDateGrouping="1"/>
  </bookViews>
  <sheets>
    <sheet name="W" sheetId="1" state="visible" r:id="rId1"/>
    <sheet name="E1E2-E2E1" sheetId="2" state="visible" r:id="rId2"/>
    <sheet name="txtformat" sheetId="3" state="hidden" r:id="rId3"/>
  </sheets>
  <definedNames>
    <definedName name="_xlnm.Print_Area" localSheetId="0">'W'!$A$1:$Y$42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8"/>
      <scheme val="minor"/>
    </font>
    <font>
      <name val="Calibri"/>
      <family val="2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/>
      <sz val="11"/>
      <scheme val="minor"/>
    </font>
    <font>
      <name val="Arial Black"/>
      <family val="2"/>
      <sz val="18"/>
    </font>
    <font>
      <name val="Arial Black"/>
      <family val="2"/>
      <color theme="1"/>
      <sz val="18"/>
    </font>
    <font>
      <name val="Calibri"/>
      <family val="2"/>
      <color theme="1"/>
      <sz val="8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color theme="0" tint="-0.0499893185216834"/>
      <sz val="11"/>
      <scheme val="minor"/>
    </font>
    <font>
      <name val="Arial Black"/>
      <family val="2"/>
      <color theme="0" tint="-0.0499893185216834"/>
      <sz val="18"/>
    </font>
    <font>
      <name val="Calibri"/>
      <family val="2"/>
      <color rgb="FF002060"/>
      <sz val="11"/>
      <scheme val="minor"/>
    </font>
    <font>
      <name val="Calibri"/>
      <family val="2"/>
      <color theme="0" tint="-0.149998474074526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164" fontId="3" fillId="3" borderId="0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2" fontId="3" fillId="0" borderId="8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5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right"/>
    </xf>
    <xf numFmtId="0" fontId="9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5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10" fillId="4" borderId="11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164" fontId="0" fillId="0" borderId="10" pivotButton="0" quotePrefix="0" xfId="0"/>
    <xf numFmtId="2" fontId="3" fillId="0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/>
    </xf>
    <xf numFmtId="2" fontId="3" fillId="0" borderId="14" applyAlignment="1" pivotButton="0" quotePrefix="0" xfId="0">
      <alignment horizontal="center" vertical="center"/>
    </xf>
    <xf numFmtId="2" fontId="3" fillId="0" borderId="15" applyAlignment="1" pivotButton="0" quotePrefix="0" xfId="0">
      <alignment horizontal="center" vertical="center"/>
    </xf>
    <xf numFmtId="2" fontId="3" fillId="0" borderId="16" applyAlignment="1" pivotButton="0" quotePrefix="0" xfId="0">
      <alignment horizontal="center" vertical="center"/>
    </xf>
    <xf numFmtId="2" fontId="3" fillId="0" borderId="17" applyAlignment="1" pivotButton="0" quotePrefix="0" xfId="0">
      <alignment horizontal="center" vertical="center"/>
    </xf>
    <xf numFmtId="2" fontId="3" fillId="0" borderId="18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3" borderId="10" applyAlignment="1" pivotButton="0" quotePrefix="0" xfId="0">
      <alignment horizontal="center" vertical="center"/>
    </xf>
    <xf numFmtId="165" fontId="0" fillId="0" borderId="0" pivotButton="0" quotePrefix="0" xfId="0"/>
    <xf numFmtId="0" fontId="11" fillId="0" borderId="10" pivotButton="0" quotePrefix="0" xfId="0"/>
    <xf numFmtId="0" fontId="0" fillId="0" borderId="0" applyAlignment="1" pivotButton="0" quotePrefix="1" xfId="0">
      <alignment horizontal="center"/>
    </xf>
    <xf numFmtId="0" fontId="0" fillId="0" borderId="0" pivotButton="0" quotePrefix="1" xfId="0"/>
    <xf numFmtId="0" fontId="17" fillId="0" borderId="0" applyAlignment="1" pivotButton="0" quotePrefix="0" xfId="0">
      <alignment horizontal="center"/>
    </xf>
    <xf numFmtId="0" fontId="19" fillId="0" borderId="26" applyAlignment="1" pivotButton="0" quotePrefix="0" xfId="0">
      <alignment horizontal="right"/>
    </xf>
    <xf numFmtId="0" fontId="19" fillId="0" borderId="27" applyAlignment="1" pivotButton="0" quotePrefix="0" xfId="0">
      <alignment horizontal="center"/>
    </xf>
    <xf numFmtId="0" fontId="19" fillId="0" borderId="28" applyAlignment="1" pivotButton="0" quotePrefix="0" xfId="0">
      <alignment horizontal="left"/>
    </xf>
    <xf numFmtId="0" fontId="19" fillId="0" borderId="26" applyAlignment="1" pivotButton="0" quotePrefix="0" xfId="0">
      <alignment horizontal="right" vertical="center" shrinkToFi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12" fillId="0" borderId="19" applyAlignment="1" pivotButton="0" quotePrefix="0" xfId="0">
      <alignment vertical="center" textRotation="90"/>
    </xf>
    <xf numFmtId="0" fontId="0" fillId="0" borderId="29" pivotButton="0" quotePrefix="0" xfId="0"/>
    <xf numFmtId="2" fontId="0" fillId="0" borderId="30" applyAlignment="1" pivotButton="0" quotePrefix="0" xfId="0">
      <alignment horizontal="center"/>
    </xf>
    <xf numFmtId="0" fontId="0" fillId="0" borderId="31" pivotButton="0" quotePrefix="0" xfId="0"/>
    <xf numFmtId="2" fontId="0" fillId="0" borderId="32" applyAlignment="1" pivotButton="0" quotePrefix="0" xfId="0">
      <alignment horizontal="center"/>
    </xf>
    <xf numFmtId="0" fontId="0" fillId="0" borderId="11" pivotButton="0" quotePrefix="0" xfId="0"/>
    <xf numFmtId="2" fontId="0" fillId="0" borderId="33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0" pivotButton="0" quotePrefix="0" xfId="0"/>
    <xf numFmtId="0" fontId="1" fillId="0" borderId="0" pivotButton="0" quotePrefix="0" xfId="0"/>
    <xf numFmtId="0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0" fontId="0" fillId="4" borderId="10" pivotButton="0" quotePrefix="0" xfId="0"/>
    <xf numFmtId="49" fontId="0" fillId="4" borderId="10" pivotButton="0" quotePrefix="0" xfId="0"/>
    <xf numFmtId="14" fontId="14" fillId="4" borderId="10" pivotButton="0" quotePrefix="0" xfId="0"/>
    <xf numFmtId="0" fontId="2" fillId="3" borderId="0" applyAlignment="1" pivotButton="0" quotePrefix="0" xfId="0">
      <alignment vertical="center" shrinkToFit="1"/>
    </xf>
    <xf numFmtId="0" fontId="13" fillId="0" borderId="9" applyAlignment="1" pivotButton="0" quotePrefix="0" xfId="0">
      <alignment horizontal="left" vertical="center" textRotation="180"/>
    </xf>
    <xf numFmtId="0" fontId="12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left" vertical="top"/>
    </xf>
    <xf numFmtId="0" fontId="13" fillId="0" borderId="2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4" fillId="0" borderId="2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/>
    </xf>
    <xf numFmtId="0" fontId="18" fillId="0" borderId="19" applyAlignment="1" pivotButton="0" quotePrefix="0" xfId="0">
      <alignment horizontal="center" vertical="center" textRotation="90"/>
    </xf>
    <xf numFmtId="164" fontId="4" fillId="0" borderId="2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 textRotation="90"/>
    </xf>
    <xf numFmtId="164" fontId="4" fillId="0" borderId="23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/>
    </xf>
    <xf numFmtId="0" fontId="16" fillId="3" borderId="22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3" fillId="0" borderId="21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" fillId="4" borderId="0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4" borderId="0" pivotButton="0" quotePrefix="0" xfId="0"/>
    <xf numFmtId="0" fontId="0" fillId="0" borderId="21" pivotButton="0" quotePrefix="0" xfId="0"/>
    <xf numFmtId="0" fontId="0" fillId="0" borderId="4" pivotButton="0" quotePrefix="0" xfId="0"/>
    <xf numFmtId="0" fontId="0" fillId="0" borderId="6" pivotButton="0" quotePrefix="0" xfId="0"/>
    <xf numFmtId="164" fontId="4" fillId="0" borderId="3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4" pivotButton="0" quotePrefix="0" xfId="0"/>
    <xf numFmtId="0" fontId="0" fillId="0" borderId="19" pivotButton="0" quotePrefix="0" xfId="0"/>
    <xf numFmtId="0" fontId="0" fillId="0" borderId="22" pivotButton="0" quotePrefix="0" xfId="0"/>
  </cellXfs>
  <cellStyles count="1">
    <cellStyle name="Normal" xfId="0" builtinId="0"/>
  </cellStyles>
  <dxfs count="564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ont>
        <color theme="0"/>
      </font>
      <border>
        <bottom/>
      </border>
    </dxf>
    <dxf>
      <font>
        <color theme="0"/>
      </font>
      <border>
        <bottom/>
      </border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E993E5"/>
        </patternFill>
      </fill>
    </dxf>
    <dxf>
      <fill>
        <patternFill>
          <bgColor rgb="FFBA36AD"/>
        </patternFill>
      </fill>
    </dxf>
    <dxf>
      <fill>
        <patternFill>
          <bgColor rgb="FFF5DBF2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399945066682943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A140"/>
  <sheetViews>
    <sheetView tabSelected="1" zoomScale="70" zoomScaleNormal="70" workbookViewId="0">
      <selection activeCell="A6" sqref="A6"/>
    </sheetView>
  </sheetViews>
  <sheetFormatPr baseColWidth="8" defaultRowHeight="14.6"/>
  <cols>
    <col width="9.3046875" customWidth="1" min="3" max="3"/>
    <col width="8.4609375" customWidth="1" min="5" max="5"/>
    <col width="8.84375" customWidth="1" min="8" max="8"/>
    <col width="9.23046875" customWidth="1" min="12" max="12"/>
    <col width="2.765625" customWidth="1" min="13" max="13"/>
    <col width="6.84375" customWidth="1" style="47" min="14" max="14"/>
    <col width="8.84375" customWidth="1" min="17" max="17"/>
    <col width="8.84375" customWidth="1" min="19" max="19"/>
    <col width="8.84375" customWidth="1" min="24" max="24"/>
    <col width="6.84375" customWidth="1" min="25" max="25"/>
    <col width="8.84375" customWidth="1" min="27" max="27"/>
  </cols>
  <sheetData>
    <row r="1" ht="18.45" customHeight="1">
      <c r="A1" s="1" t="n"/>
      <c r="B1" s="88" t="inlineStr">
        <is>
          <t>Wafer Yield Map</t>
        </is>
      </c>
      <c r="G1" s="1" t="n"/>
      <c r="H1" s="1" t="n"/>
      <c r="I1" s="2" t="n"/>
      <c r="J1" s="2" t="n"/>
      <c r="K1" s="2" t="n"/>
    </row>
    <row r="2">
      <c r="A2" s="93" t="n"/>
      <c r="B2" s="4" t="inlineStr">
        <is>
          <t>Lot</t>
        </is>
      </c>
      <c r="C2" s="67" t="inlineStr">
        <is>
          <t>93449</t>
        </is>
      </c>
      <c r="D2" s="4" t="inlineStr">
        <is>
          <t>Wafer #</t>
        </is>
      </c>
      <c r="E2" s="68" t="inlineStr">
        <is>
          <t>07</t>
        </is>
      </c>
      <c r="F2" s="93" t="n"/>
      <c r="G2" s="4" t="inlineStr">
        <is>
          <t>Fab</t>
        </is>
      </c>
      <c r="H2" s="67" t="inlineStr">
        <is>
          <t>AFSW</t>
        </is>
      </c>
      <c r="I2" s="2" t="n"/>
      <c r="J2" s="2" t="n"/>
      <c r="K2" s="2" t="n"/>
    </row>
    <row r="3">
      <c r="A3" s="93" t="n"/>
      <c r="B3" s="4" t="inlineStr">
        <is>
          <t>Test condition</t>
        </is>
      </c>
      <c r="C3" s="93" t="n"/>
      <c r="D3" s="93" t="inlineStr">
        <is>
          <t>reverse BV at 1mA for surface diode Unit (V)</t>
        </is>
      </c>
      <c r="I3" s="2" t="n"/>
      <c r="J3" s="2" t="n"/>
      <c r="K3" s="2" t="n"/>
    </row>
    <row r="4">
      <c r="A4" s="93" t="n"/>
      <c r="B4" s="4" t="inlineStr">
        <is>
          <t>Test Date</t>
        </is>
      </c>
      <c r="C4" s="69">
        <f>TODAY()</f>
        <v/>
      </c>
      <c r="D4" s="91" t="inlineStr">
        <is>
          <t>Test Engineer</t>
        </is>
      </c>
      <c r="F4" s="92" t="n"/>
      <c r="G4" s="20" t="n"/>
      <c r="H4" s="20" t="n"/>
      <c r="I4" s="2" t="n"/>
      <c r="J4" s="2" t="n"/>
      <c r="K4" s="2" t="n"/>
    </row>
    <row r="5" ht="27.9" customHeight="1" thickBo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R5" s="89" t="n"/>
      <c r="S5" s="94" t="n"/>
      <c r="T5" s="94" t="n"/>
      <c r="U5" s="94" t="n"/>
    </row>
    <row r="6" ht="16.5" customHeight="1" thickBot="1">
      <c r="A6" s="5" t="n"/>
      <c r="B6" s="5" t="n"/>
      <c r="C6" s="6" t="n">
        <v>41.6707229614</v>
      </c>
      <c r="D6" s="35" t="n">
        <v>22.1397705078</v>
      </c>
      <c r="E6" s="6" t="n">
        <v>55.0755233765</v>
      </c>
      <c r="F6" s="6" t="n">
        <v>57.9118843079</v>
      </c>
      <c r="G6" s="31" t="n">
        <v>59.2331199646</v>
      </c>
      <c r="H6" s="6" t="n">
        <v>-0.321254581213</v>
      </c>
      <c r="I6" s="5" t="n"/>
      <c r="J6" s="5" t="n"/>
      <c r="K6" s="2" t="n"/>
      <c r="O6" s="90" t="n"/>
      <c r="P6" s="39" t="n"/>
      <c r="Q6" s="76" t="inlineStr">
        <is>
          <t>Die 1</t>
        </is>
      </c>
      <c r="R6" s="76" t="inlineStr">
        <is>
          <t>Die 2</t>
        </is>
      </c>
      <c r="S6" s="76" t="inlineStr">
        <is>
          <t>Die 3</t>
        </is>
      </c>
      <c r="T6" s="76" t="inlineStr">
        <is>
          <t>Die 4</t>
        </is>
      </c>
      <c r="U6" s="76" t="inlineStr">
        <is>
          <t>Die 5</t>
        </is>
      </c>
      <c r="V6" s="76" t="inlineStr">
        <is>
          <t>Die 6</t>
        </is>
      </c>
      <c r="W6" s="39" t="n"/>
      <c r="X6" s="77" t="n"/>
    </row>
    <row r="7" ht="16.5" customHeight="1" thickBo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P7" s="39" t="n"/>
      <c r="Q7" s="95" t="n"/>
      <c r="R7" s="95" t="n"/>
      <c r="S7" s="95" t="n"/>
      <c r="T7" s="95" t="n"/>
      <c r="U7" s="95" t="n"/>
      <c r="V7" s="95" t="n"/>
      <c r="W7" s="39" t="n"/>
    </row>
    <row r="8" ht="16.5" customHeight="1" thickBot="1">
      <c r="A8" s="5" t="n"/>
      <c r="B8" s="5" t="n"/>
      <c r="C8" s="10" t="n">
        <v>61.654258728</v>
      </c>
      <c r="D8" s="36" t="n">
        <v>60.4502868652</v>
      </c>
      <c r="E8" s="8" t="n">
        <v>60.6390647888</v>
      </c>
      <c r="F8" s="8" t="n">
        <v>60.6640892029</v>
      </c>
      <c r="G8" s="33" t="n">
        <v>59.8399963379</v>
      </c>
      <c r="H8" s="8" t="n">
        <v>24.7820301056</v>
      </c>
      <c r="I8" s="5" t="n"/>
      <c r="J8" s="5" t="n"/>
      <c r="K8" s="2" t="n"/>
      <c r="P8" s="39" t="n"/>
      <c r="Q8" s="96" t="n"/>
      <c r="R8" s="96" t="n"/>
      <c r="S8" s="96" t="n"/>
      <c r="T8" s="96" t="n"/>
      <c r="U8" s="96" t="n"/>
      <c r="V8" s="96" t="n"/>
      <c r="W8" s="39" t="n"/>
    </row>
    <row r="9" ht="16.5" customHeight="1" thickBot="1">
      <c r="A9" s="5" t="n"/>
      <c r="B9" s="6" t="n">
        <v>61.8654785156</v>
      </c>
      <c r="C9" s="6" t="n">
        <v>58.9849853516</v>
      </c>
      <c r="D9" s="35" t="n">
        <v>59.7366256714</v>
      </c>
      <c r="E9" s="6" t="n">
        <v>57.7556686401</v>
      </c>
      <c r="F9" s="6" t="n">
        <v>59.4758415222</v>
      </c>
      <c r="G9" s="31" t="n">
        <v>56.5054206848</v>
      </c>
      <c r="H9" s="6" t="n">
        <v>48.4377403259</v>
      </c>
      <c r="I9" s="6" t="n">
        <v>45.5669555664</v>
      </c>
      <c r="J9" s="5" t="n"/>
      <c r="K9" s="2" t="n"/>
      <c r="O9" s="39" t="n"/>
      <c r="P9" s="97" t="inlineStr">
        <is>
          <t>Die 7</t>
        </is>
      </c>
      <c r="Q9" s="76" t="inlineStr">
        <is>
          <t>Die 8</t>
        </is>
      </c>
      <c r="R9" s="76" t="inlineStr">
        <is>
          <t>Die 9</t>
        </is>
      </c>
      <c r="S9" s="76" t="inlineStr">
        <is>
          <t>Die 10</t>
        </is>
      </c>
      <c r="T9" s="76" t="inlineStr">
        <is>
          <t>Die 11</t>
        </is>
      </c>
      <c r="U9" s="76" t="inlineStr">
        <is>
          <t>Die 12</t>
        </is>
      </c>
      <c r="V9" s="76" t="inlineStr">
        <is>
          <t>Die 13</t>
        </is>
      </c>
      <c r="W9" s="76" t="inlineStr">
        <is>
          <t>Die 14</t>
        </is>
      </c>
      <c r="X9" s="39" t="n"/>
    </row>
    <row r="10" ht="16.5" customHeight="1" thickBo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O10" s="39" t="n"/>
      <c r="P10" s="98" t="n"/>
      <c r="Q10" s="95" t="n"/>
      <c r="R10" s="95" t="n"/>
      <c r="S10" s="95" t="n"/>
      <c r="T10" s="95" t="n"/>
      <c r="U10" s="95" t="n"/>
      <c r="V10" s="95" t="n"/>
      <c r="W10" s="95" t="n"/>
      <c r="X10" s="39" t="n"/>
    </row>
    <row r="11" ht="16.5" customHeight="1" thickBot="1">
      <c r="A11" s="5" t="n"/>
      <c r="B11" s="8" t="n">
        <v>67.2896347046</v>
      </c>
      <c r="C11" s="8" t="n">
        <v>65.86061096189999</v>
      </c>
      <c r="D11" s="8" t="n">
        <v>61.4983329773</v>
      </c>
      <c r="E11" s="8" t="n">
        <v>61.4758872986</v>
      </c>
      <c r="F11" s="8" t="n">
        <v>64.9246749878</v>
      </c>
      <c r="G11" s="8" t="n">
        <v>61.5694541931</v>
      </c>
      <c r="H11" s="8" t="n">
        <v>61.895236969</v>
      </c>
      <c r="I11" s="8" t="n">
        <v>62.1378097534</v>
      </c>
      <c r="J11" s="5" t="n"/>
      <c r="K11" s="2" t="n"/>
      <c r="O11" s="39" t="n"/>
      <c r="P11" s="99" t="n"/>
      <c r="Q11" s="96" t="n"/>
      <c r="R11" s="96" t="n"/>
      <c r="S11" s="96" t="n"/>
      <c r="T11" s="96" t="n"/>
      <c r="U11" s="96" t="n"/>
      <c r="V11" s="96" t="n"/>
      <c r="W11" s="96" t="n"/>
      <c r="X11" s="39" t="n"/>
    </row>
    <row r="12" ht="16.5" customHeight="1" thickBot="1">
      <c r="A12" s="6" t="n">
        <v>-4.07979202271</v>
      </c>
      <c r="B12" s="6" t="n">
        <v>59.3554229736</v>
      </c>
      <c r="C12" s="6" t="n">
        <v>59.7374000549</v>
      </c>
      <c r="D12" s="6" t="n">
        <v>61.4165763855</v>
      </c>
      <c r="E12" s="6" t="n">
        <v>60.2311706543</v>
      </c>
      <c r="F12" s="6" t="n">
        <v>59.6683158875</v>
      </c>
      <c r="G12" s="6" t="n">
        <v>59.3899269104</v>
      </c>
      <c r="H12" s="6" t="n">
        <v>59.4959564209</v>
      </c>
      <c r="I12" s="6" t="n">
        <v>60.5984420776</v>
      </c>
      <c r="J12" s="6" t="n">
        <v>60.5064277649</v>
      </c>
      <c r="K12" s="2" t="n"/>
      <c r="O12" s="76" t="inlineStr">
        <is>
          <t>Die 15</t>
        </is>
      </c>
      <c r="P12" s="76" t="inlineStr">
        <is>
          <t>Die 16</t>
        </is>
      </c>
      <c r="Q12" s="76" t="inlineStr">
        <is>
          <t>Die 17</t>
        </is>
      </c>
      <c r="R12" s="76" t="inlineStr">
        <is>
          <t>Die 18</t>
        </is>
      </c>
      <c r="S12" s="76" t="inlineStr">
        <is>
          <t>Die 19</t>
        </is>
      </c>
      <c r="T12" s="76" t="inlineStr">
        <is>
          <t>Die 20</t>
        </is>
      </c>
      <c r="U12" s="76" t="inlineStr">
        <is>
          <t>Die 21</t>
        </is>
      </c>
      <c r="V12" s="76" t="inlineStr">
        <is>
          <t>Die 22</t>
        </is>
      </c>
      <c r="W12" s="76" t="inlineStr">
        <is>
          <t>Die 23</t>
        </is>
      </c>
      <c r="X12" s="76" t="inlineStr">
        <is>
          <t>Die 24</t>
        </is>
      </c>
    </row>
    <row r="13" ht="16.5" customHeight="1" thickBot="1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</row>
    <row r="14" ht="16.5" customHeight="1" thickBot="1">
      <c r="A14" s="10" t="n">
        <v>62.9030761719</v>
      </c>
      <c r="B14" s="10" t="n">
        <v>63.7239379883</v>
      </c>
      <c r="C14" s="10" t="n">
        <v>66.43733978269999</v>
      </c>
      <c r="D14" s="10" t="n">
        <v>72.0158233643</v>
      </c>
      <c r="E14" s="10" t="n">
        <v>69.4721298218</v>
      </c>
      <c r="F14" s="10" t="n">
        <v>64.8757476807</v>
      </c>
      <c r="G14" s="10" t="n">
        <v>68.2173690796</v>
      </c>
      <c r="H14" s="10" t="n">
        <v>62.5994262695</v>
      </c>
      <c r="I14" s="10" t="n">
        <v>61.3904876709</v>
      </c>
      <c r="J14" s="10" t="n">
        <v>62.5216827393</v>
      </c>
      <c r="K14" s="2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</row>
    <row r="15" ht="16.5" customHeight="1" thickBot="1">
      <c r="A15" s="40" t="n">
        <v>61.3329391479</v>
      </c>
      <c r="B15" s="40" t="n">
        <v>65.73305511469999</v>
      </c>
      <c r="C15" s="40" t="n">
        <v>64.0232543945</v>
      </c>
      <c r="D15" s="40" t="n">
        <v>60.2871704102</v>
      </c>
      <c r="E15" s="40" t="n">
        <v>58.9662361145</v>
      </c>
      <c r="F15" s="40" t="n">
        <v>60.2814445496</v>
      </c>
      <c r="G15" s="40" t="n">
        <v>61.2841300964</v>
      </c>
      <c r="H15" s="40" t="n">
        <v>59.890750885</v>
      </c>
      <c r="I15" s="40" t="n">
        <v>59.9905509949</v>
      </c>
      <c r="J15" s="40" t="n">
        <v>61.6561279297</v>
      </c>
      <c r="K15" s="82" t="n"/>
      <c r="N15" s="78" t="n"/>
      <c r="O15" s="76" t="inlineStr">
        <is>
          <t>Die 25</t>
        </is>
      </c>
      <c r="P15" s="76" t="inlineStr">
        <is>
          <t>Die 26</t>
        </is>
      </c>
      <c r="Q15" s="76" t="inlineStr">
        <is>
          <t>Die 27</t>
        </is>
      </c>
      <c r="R15" s="76" t="inlineStr">
        <is>
          <t>Die 28</t>
        </is>
      </c>
      <c r="S15" s="76" t="inlineStr">
        <is>
          <t>Die 29</t>
        </is>
      </c>
      <c r="T15" s="76" t="inlineStr">
        <is>
          <t>Die 30</t>
        </is>
      </c>
      <c r="U15" s="76" t="inlineStr">
        <is>
          <t>Die 31</t>
        </is>
      </c>
      <c r="V15" s="76" t="inlineStr">
        <is>
          <t>Die 32</t>
        </is>
      </c>
      <c r="W15" s="76" t="inlineStr">
        <is>
          <t>Die 33</t>
        </is>
      </c>
      <c r="X15" s="76" t="inlineStr">
        <is>
          <t>Die 34</t>
        </is>
      </c>
      <c r="Y15" s="71" t="n"/>
    </row>
    <row r="16" ht="16.5" customHeight="1" thickBot="1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100" t="n"/>
      <c r="O16" s="95" t="n"/>
      <c r="P16" s="95" t="n"/>
      <c r="Q16" s="95" t="n"/>
      <c r="R16" s="95" t="n"/>
      <c r="S16" s="95" t="n"/>
      <c r="T16" s="95" t="n"/>
      <c r="U16" s="95" t="n"/>
      <c r="V16" s="95" t="n"/>
      <c r="W16" s="95" t="n"/>
      <c r="X16" s="95" t="n"/>
      <c r="Y16" s="98" t="n"/>
    </row>
    <row r="17" ht="16.5" customHeight="1" thickBot="1">
      <c r="A17" s="8" t="n">
        <v>73.10590362550001</v>
      </c>
      <c r="B17" s="8" t="n">
        <v>76.77458190919999</v>
      </c>
      <c r="C17" s="8" t="n">
        <v>67.6216430664</v>
      </c>
      <c r="D17" s="36" t="n">
        <v>74.1735610962</v>
      </c>
      <c r="E17" s="8" t="n">
        <v>71.7557144165</v>
      </c>
      <c r="F17" s="8" t="n">
        <v>68.09619903559999</v>
      </c>
      <c r="G17" s="33" t="n">
        <v>63.5432052612</v>
      </c>
      <c r="H17" s="8" t="n">
        <v>69.97035980219999</v>
      </c>
      <c r="I17" s="8" t="n">
        <v>65.38348388670001</v>
      </c>
      <c r="J17" s="8" t="n">
        <v>82.73216247560001</v>
      </c>
      <c r="K17" s="98" t="n"/>
      <c r="N17" s="100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8" t="n"/>
    </row>
    <row r="18" ht="16.5" customHeight="1" thickBot="1">
      <c r="A18" s="6" t="n">
        <v>59.1105957031</v>
      </c>
      <c r="B18" s="6" t="n">
        <v>62.6948051453</v>
      </c>
      <c r="C18" s="6" t="n">
        <v>62.9168128967</v>
      </c>
      <c r="D18" s="35" t="n">
        <v>64.54103851319999</v>
      </c>
      <c r="E18" s="6" t="n">
        <v>61.5001792908</v>
      </c>
      <c r="F18" s="6" t="n">
        <v>62.2936058044</v>
      </c>
      <c r="G18" s="31" t="n">
        <v>61.4286155701</v>
      </c>
      <c r="H18" s="6" t="n">
        <v>59.626914978</v>
      </c>
      <c r="I18" s="6" t="n">
        <v>60.024017334</v>
      </c>
      <c r="J18" s="6" t="n">
        <v>59.6290855408</v>
      </c>
      <c r="K18" s="98" t="n"/>
      <c r="N18" s="100" t="n"/>
      <c r="O18" s="76" t="inlineStr">
        <is>
          <t>Die 35</t>
        </is>
      </c>
      <c r="P18" s="76" t="inlineStr">
        <is>
          <t>Die 36</t>
        </is>
      </c>
      <c r="Q18" s="76" t="inlineStr">
        <is>
          <t>Die 37</t>
        </is>
      </c>
      <c r="R18" s="76" t="inlineStr">
        <is>
          <t>Die 38</t>
        </is>
      </c>
      <c r="S18" s="76" t="inlineStr">
        <is>
          <t>Die 39</t>
        </is>
      </c>
      <c r="T18" s="76" t="inlineStr">
        <is>
          <t>Die 40</t>
        </is>
      </c>
      <c r="U18" s="76" t="inlineStr">
        <is>
          <t>Die 41</t>
        </is>
      </c>
      <c r="V18" s="76" t="inlineStr">
        <is>
          <t>Die 42</t>
        </is>
      </c>
      <c r="W18" s="76" t="inlineStr">
        <is>
          <t>Die 43</t>
        </is>
      </c>
      <c r="X18" s="76" t="inlineStr">
        <is>
          <t>Die 44</t>
        </is>
      </c>
      <c r="Y18" s="98" t="n"/>
    </row>
    <row r="19" ht="16.5" customHeight="1" thickBot="1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100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8" t="n"/>
    </row>
    <row r="20" ht="16.5" customHeight="1" thickBot="1">
      <c r="A20" s="10" t="n">
        <v>85.9095687866</v>
      </c>
      <c r="B20" s="8" t="n">
        <v>79.0555801392</v>
      </c>
      <c r="C20" s="8" t="n">
        <v>64.1747665405</v>
      </c>
      <c r="D20" s="36" t="n">
        <v>83.4224319458</v>
      </c>
      <c r="E20" s="8" t="n">
        <v>75.45291900629999</v>
      </c>
      <c r="F20" s="8" t="n">
        <v>75.1199645996</v>
      </c>
      <c r="G20" s="33" t="n">
        <v>66.85823822019999</v>
      </c>
      <c r="H20" s="8" t="n">
        <v>63.9173355103</v>
      </c>
      <c r="I20" s="8" t="n">
        <v>68.8276062012</v>
      </c>
      <c r="J20" s="10" t="n">
        <v>70.79051971440001</v>
      </c>
      <c r="K20" s="98" t="n"/>
      <c r="N20" s="100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8" t="n"/>
    </row>
    <row r="21" ht="16.5" customHeight="1" thickBot="1">
      <c r="A21" s="6" t="n">
        <v>60.5480766296</v>
      </c>
      <c r="B21" s="6" t="n">
        <v>63.7061767578</v>
      </c>
      <c r="C21" s="6" t="n">
        <v>65.8505783081</v>
      </c>
      <c r="D21" s="35" t="n">
        <v>59.8620986938</v>
      </c>
      <c r="E21" s="6" t="n">
        <v>60.8179664612</v>
      </c>
      <c r="F21" s="6" t="n">
        <v>60.3348693848</v>
      </c>
      <c r="G21" s="31" t="n">
        <v>59.9784736633</v>
      </c>
      <c r="H21" s="6" t="n">
        <v>64.85200500489999</v>
      </c>
      <c r="I21" s="6" t="n">
        <v>61.2914276123</v>
      </c>
      <c r="J21" s="6" t="n">
        <v>60.6086807251</v>
      </c>
      <c r="K21" s="98" t="n"/>
      <c r="N21" s="100" t="n"/>
      <c r="O21" s="76" t="inlineStr">
        <is>
          <t>Die 45</t>
        </is>
      </c>
      <c r="P21" s="76" t="inlineStr">
        <is>
          <t>Die 46</t>
        </is>
      </c>
      <c r="Q21" s="76" t="inlineStr">
        <is>
          <t>Die 47</t>
        </is>
      </c>
      <c r="R21" s="76" t="inlineStr">
        <is>
          <t>Die 48</t>
        </is>
      </c>
      <c r="S21" s="76" t="inlineStr">
        <is>
          <t>Die 49</t>
        </is>
      </c>
      <c r="T21" s="76" t="inlineStr">
        <is>
          <t>Die 50</t>
        </is>
      </c>
      <c r="U21" s="76" t="inlineStr">
        <is>
          <t>Die 51</t>
        </is>
      </c>
      <c r="V21" s="76" t="inlineStr">
        <is>
          <t>Die 52</t>
        </is>
      </c>
      <c r="W21" s="76" t="inlineStr">
        <is>
          <t>Die 53</t>
        </is>
      </c>
      <c r="X21" s="76" t="inlineStr">
        <is>
          <t>Die 54</t>
        </is>
      </c>
      <c r="Y21" s="98" t="n"/>
    </row>
    <row r="22" ht="16.5" customHeight="1" thickBot="1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100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8" t="n"/>
    </row>
    <row r="23" ht="16.5" customHeight="1" thickBot="1">
      <c r="A23" s="8" t="n">
        <v>89.2392578125</v>
      </c>
      <c r="B23" s="8" t="n">
        <v>89.9792938232</v>
      </c>
      <c r="C23" s="8" t="n">
        <v>82.9172744751</v>
      </c>
      <c r="D23" s="36" t="n">
        <v>78.77513122560001</v>
      </c>
      <c r="E23" s="8" t="n">
        <v>80.32284545900001</v>
      </c>
      <c r="F23" s="8" t="n">
        <v>73.6701889038</v>
      </c>
      <c r="G23" s="33" t="n">
        <v>81.546836853</v>
      </c>
      <c r="H23" s="8" t="n">
        <v>77.5962905884</v>
      </c>
      <c r="I23" s="8" t="n">
        <v>84.8052368164</v>
      </c>
      <c r="J23" s="8" t="n">
        <v>72.09372711180001</v>
      </c>
      <c r="K23" s="98" t="n"/>
      <c r="N23" s="100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8" t="n"/>
    </row>
    <row r="24" ht="16.5" customHeight="1" thickBot="1">
      <c r="A24" s="6" t="n">
        <v>43.7979507446</v>
      </c>
      <c r="B24" s="6" t="n">
        <v>57.8559455872</v>
      </c>
      <c r="C24" s="6" t="n">
        <v>66.83516693120001</v>
      </c>
      <c r="D24" s="35" t="n">
        <v>60.9412384033</v>
      </c>
      <c r="E24" s="6" t="n">
        <v>61.2861862183</v>
      </c>
      <c r="F24" s="6" t="n">
        <v>61.7019195557</v>
      </c>
      <c r="G24" s="31" t="n">
        <v>60.7003440857</v>
      </c>
      <c r="H24" s="6" t="n">
        <v>60.8707237244</v>
      </c>
      <c r="I24" s="6" t="n">
        <v>61.7849235535</v>
      </c>
      <c r="J24" s="6" t="n">
        <v>63.3798561096</v>
      </c>
      <c r="K24" s="98" t="n"/>
      <c r="N24" s="100" t="n"/>
      <c r="O24" s="76" t="inlineStr">
        <is>
          <t>Die 55</t>
        </is>
      </c>
      <c r="P24" s="76" t="inlineStr">
        <is>
          <t>Die 56</t>
        </is>
      </c>
      <c r="Q24" s="76" t="inlineStr">
        <is>
          <t>Die 57</t>
        </is>
      </c>
      <c r="R24" s="76" t="inlineStr">
        <is>
          <t>Die 58</t>
        </is>
      </c>
      <c r="S24" s="76" t="inlineStr">
        <is>
          <t>Die 59</t>
        </is>
      </c>
      <c r="T24" s="76" t="inlineStr">
        <is>
          <t>Die 60</t>
        </is>
      </c>
      <c r="U24" s="76" t="inlineStr">
        <is>
          <t>Die 61</t>
        </is>
      </c>
      <c r="V24" s="76" t="inlineStr">
        <is>
          <t>Die 62</t>
        </is>
      </c>
      <c r="W24" s="76" t="inlineStr">
        <is>
          <t>Die 63</t>
        </is>
      </c>
      <c r="X24" s="76" t="inlineStr">
        <is>
          <t>Die 64</t>
        </is>
      </c>
      <c r="Y24" s="98" t="n"/>
    </row>
    <row r="25" ht="16.5" customHeight="1" thickBot="1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100" t="n"/>
      <c r="O25" s="95" t="n"/>
      <c r="P25" s="95" t="n"/>
      <c r="Q25" s="95" t="n"/>
      <c r="R25" s="95" t="n"/>
      <c r="S25" s="95" t="n"/>
      <c r="T25" s="95" t="n"/>
      <c r="U25" s="95" t="n"/>
      <c r="V25" s="95" t="n"/>
      <c r="W25" s="95" t="n"/>
      <c r="X25" s="95" t="n"/>
      <c r="Y25" s="98" t="n"/>
    </row>
    <row r="26" ht="16.5" customHeight="1" thickBot="1">
      <c r="A26" s="8" t="n">
        <v>85.9095687866</v>
      </c>
      <c r="B26" s="8" t="n">
        <v>79.0555801392</v>
      </c>
      <c r="C26" s="8" t="n">
        <v>64.1747665405</v>
      </c>
      <c r="D26" s="36" t="n">
        <v>83.4224319458</v>
      </c>
      <c r="E26" s="8" t="n">
        <v>75.45291900629999</v>
      </c>
      <c r="F26" s="8" t="n">
        <v>75.1199645996</v>
      </c>
      <c r="G26" s="33" t="n">
        <v>66.85823822019999</v>
      </c>
      <c r="H26" s="8" t="n">
        <v>63.9173355103</v>
      </c>
      <c r="I26" s="8" t="n">
        <v>68.8276062012</v>
      </c>
      <c r="J26" s="8" t="n">
        <v>70.79051971440001</v>
      </c>
      <c r="K26" s="98" t="n"/>
      <c r="N26" s="100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8" t="n"/>
    </row>
    <row r="27" ht="16.3" customHeight="1" thickBot="1">
      <c r="A27" s="6" t="n">
        <v>63.3050231934</v>
      </c>
      <c r="B27" s="6" t="n">
        <v>67.2249221802</v>
      </c>
      <c r="C27" s="6" t="n">
        <v>60.5375862122</v>
      </c>
      <c r="D27" s="35" t="n">
        <v>66.25946807859999</v>
      </c>
      <c r="E27" s="6" t="n">
        <v>66.31640625</v>
      </c>
      <c r="F27" s="6" t="n">
        <v>65.6760482788</v>
      </c>
      <c r="G27" s="31" t="n">
        <v>63.0725326538</v>
      </c>
      <c r="H27" s="6" t="n">
        <v>63.3796958923</v>
      </c>
      <c r="I27" s="6" t="n">
        <v>61.928981781</v>
      </c>
      <c r="J27" s="6" t="n">
        <v>62.0991401672</v>
      </c>
      <c r="K27" s="2" t="n"/>
      <c r="O27" s="76" t="inlineStr">
        <is>
          <t>Die 65</t>
        </is>
      </c>
      <c r="P27" s="76" t="inlineStr">
        <is>
          <t>Die 66</t>
        </is>
      </c>
      <c r="Q27" s="76" t="inlineStr">
        <is>
          <t>Die 67</t>
        </is>
      </c>
      <c r="R27" s="76" t="inlineStr">
        <is>
          <t>Die 68</t>
        </is>
      </c>
      <c r="S27" s="76" t="inlineStr">
        <is>
          <t>Die 69</t>
        </is>
      </c>
      <c r="T27" s="76" t="inlineStr">
        <is>
          <t>Die 70</t>
        </is>
      </c>
      <c r="U27" s="76" t="inlineStr">
        <is>
          <t>Die 71</t>
        </is>
      </c>
      <c r="V27" s="76" t="inlineStr">
        <is>
          <t>Die 72</t>
        </is>
      </c>
      <c r="W27" s="76" t="inlineStr">
        <is>
          <t>Die 73</t>
        </is>
      </c>
      <c r="X27" s="76" t="inlineStr">
        <is>
          <t>Die 74</t>
        </is>
      </c>
    </row>
    <row r="28" ht="15" customHeight="1" thickBot="1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6.3" customHeight="1" thickBot="1">
      <c r="A29" s="10" t="n">
        <v>73.10590362550001</v>
      </c>
      <c r="B29" s="10" t="n">
        <v>76.77458190919999</v>
      </c>
      <c r="C29" s="10" t="n">
        <v>67.6216430664</v>
      </c>
      <c r="D29" s="37" t="n">
        <v>74.1735610962</v>
      </c>
      <c r="E29" s="10" t="n">
        <v>71.7557144165</v>
      </c>
      <c r="F29" s="10" t="n">
        <v>68.09619903559999</v>
      </c>
      <c r="G29" s="34" t="n">
        <v>63.5432052612</v>
      </c>
      <c r="H29" s="10" t="n">
        <v>69.97035980219999</v>
      </c>
      <c r="I29" s="10" t="n">
        <v>65.38348388670001</v>
      </c>
      <c r="J29" s="10" t="n">
        <v>82.73216247560001</v>
      </c>
      <c r="K29" s="2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</row>
    <row r="30" ht="16.3" customHeight="1" thickBot="1">
      <c r="A30" s="5" t="n"/>
      <c r="B30" s="6" t="n">
        <v>43.834602356</v>
      </c>
      <c r="C30" s="6" t="n">
        <v>37.1221656799</v>
      </c>
      <c r="D30" s="35" t="n">
        <v>60.2435951233</v>
      </c>
      <c r="E30" s="6" t="n">
        <v>61.6208534241</v>
      </c>
      <c r="F30" s="6" t="n">
        <v>62.2392196655</v>
      </c>
      <c r="G30" s="31" t="n">
        <v>66.6764221191</v>
      </c>
      <c r="H30" s="6" t="n">
        <v>66.1864318848</v>
      </c>
      <c r="I30" s="6" t="n">
        <v>67.3835601807</v>
      </c>
      <c r="J30" s="5" t="n"/>
      <c r="K30" s="2" t="n"/>
      <c r="O30" s="39" t="n"/>
      <c r="P30" s="97" t="inlineStr">
        <is>
          <t>Die 75</t>
        </is>
      </c>
      <c r="Q30" s="76" t="inlineStr">
        <is>
          <t>Die 76</t>
        </is>
      </c>
      <c r="R30" s="76" t="inlineStr">
        <is>
          <t>Die 77</t>
        </is>
      </c>
      <c r="S30" s="76" t="inlineStr">
        <is>
          <t>Die 78</t>
        </is>
      </c>
      <c r="T30" s="76" t="inlineStr">
        <is>
          <t>Die 79</t>
        </is>
      </c>
      <c r="U30" s="76" t="inlineStr">
        <is>
          <t>Die 80</t>
        </is>
      </c>
      <c r="V30" s="76" t="inlineStr">
        <is>
          <t>Die 81</t>
        </is>
      </c>
      <c r="W30" s="76" t="inlineStr">
        <is>
          <t>Die 82</t>
        </is>
      </c>
      <c r="X30" s="39" t="n"/>
    </row>
    <row r="31" ht="18.9" customHeight="1" thickBo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O31" s="39" t="n"/>
      <c r="P31" s="98" t="n"/>
      <c r="Q31" s="95" t="n"/>
      <c r="R31" s="95" t="n"/>
      <c r="S31" s="95" t="n"/>
      <c r="T31" s="95" t="n"/>
      <c r="U31" s="95" t="n"/>
      <c r="V31" s="95" t="n"/>
      <c r="W31" s="95" t="n"/>
      <c r="X31" s="39" t="n"/>
    </row>
    <row r="32" ht="18.9" customHeight="1" thickBot="1">
      <c r="A32" s="5" t="n"/>
      <c r="B32" s="10" t="n">
        <v>62.9030761719</v>
      </c>
      <c r="C32" s="8" t="n">
        <v>63.7239379883</v>
      </c>
      <c r="D32" s="36" t="n">
        <v>66.43733978269999</v>
      </c>
      <c r="E32" s="8" t="n">
        <v>72.0158233643</v>
      </c>
      <c r="F32" s="8" t="n">
        <v>69.4721298218</v>
      </c>
      <c r="G32" s="33" t="n">
        <v>64.8757476807</v>
      </c>
      <c r="H32" s="8" t="n">
        <v>68.2173690796</v>
      </c>
      <c r="I32" s="10" t="n">
        <v>62.5994262695</v>
      </c>
      <c r="J32" s="5" t="n"/>
      <c r="K32" s="16" t="n"/>
      <c r="O32" s="39" t="n"/>
      <c r="P32" s="99" t="n"/>
      <c r="Q32" s="96" t="n"/>
      <c r="R32" s="96" t="n"/>
      <c r="S32" s="96" t="n"/>
      <c r="T32" s="96" t="n"/>
      <c r="U32" s="96" t="n"/>
      <c r="V32" s="96" t="n"/>
      <c r="W32" s="96" t="n"/>
      <c r="X32" s="39" t="n"/>
    </row>
    <row r="33" ht="16.3" customHeight="1" thickBot="1">
      <c r="A33" s="5" t="n"/>
      <c r="B33" s="5" t="n"/>
      <c r="C33" s="6" t="n">
        <v>34.3718414307</v>
      </c>
      <c r="D33" s="35" t="n">
        <v>61.6251945496</v>
      </c>
      <c r="E33" s="6" t="n">
        <v>65.81284332280001</v>
      </c>
      <c r="F33" s="6" t="n">
        <v>29.4609775543</v>
      </c>
      <c r="G33" s="31" t="n">
        <v>41.0948104858</v>
      </c>
      <c r="H33" s="6" t="n">
        <v>11.8706245422</v>
      </c>
      <c r="I33" s="5" t="n"/>
      <c r="J33" s="5" t="n"/>
      <c r="K33" s="2" t="n"/>
      <c r="O33" s="72" t="n"/>
      <c r="P33" s="39" t="n"/>
      <c r="Q33" s="76" t="inlineStr">
        <is>
          <t>Die 83</t>
        </is>
      </c>
      <c r="R33" s="76" t="inlineStr">
        <is>
          <t>Die 84</t>
        </is>
      </c>
      <c r="S33" s="76" t="inlineStr">
        <is>
          <t>Die 85</t>
        </is>
      </c>
      <c r="T33" s="76" t="inlineStr">
        <is>
          <t>Die 86</t>
        </is>
      </c>
      <c r="U33" s="76" t="inlineStr">
        <is>
          <t>Die 87</t>
        </is>
      </c>
      <c r="V33" s="76" t="inlineStr">
        <is>
          <t>Die 88</t>
        </is>
      </c>
      <c r="W33" s="39" t="n"/>
      <c r="X33" s="73" t="n"/>
    </row>
    <row r="34" ht="16.3" customHeight="1" thickBo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P34" s="39" t="n"/>
      <c r="Q34" s="95" t="n"/>
      <c r="R34" s="95" t="n"/>
      <c r="S34" s="95" t="n"/>
      <c r="T34" s="95" t="n"/>
      <c r="U34" s="95" t="n"/>
      <c r="V34" s="95" t="n"/>
      <c r="W34" s="39" t="n"/>
    </row>
    <row r="35" ht="16.3" customHeight="1" thickBot="1">
      <c r="A35" s="5" t="n"/>
      <c r="B35" s="5" t="n"/>
      <c r="C35" s="10" t="n">
        <v>61.3904876709</v>
      </c>
      <c r="D35" s="37" t="n">
        <v>62.5216827393</v>
      </c>
      <c r="E35" s="10" t="n">
        <v>67.2896347046</v>
      </c>
      <c r="F35" s="10" t="n">
        <v>65.86061096189999</v>
      </c>
      <c r="G35" s="34" t="n">
        <v>61.4983329773</v>
      </c>
      <c r="H35" s="10" t="n">
        <v>61.4758872986</v>
      </c>
      <c r="I35" s="5" t="n"/>
      <c r="J35" s="5" t="n"/>
      <c r="K35" s="2" t="n"/>
      <c r="P35" s="39" t="n"/>
      <c r="Q35" s="96" t="n"/>
      <c r="R35" s="96" t="n"/>
      <c r="S35" s="96" t="n"/>
      <c r="T35" s="96" t="n"/>
      <c r="U35" s="96" t="n"/>
      <c r="V35" s="96" t="n"/>
      <c r="W35" s="39" t="n"/>
    </row>
    <row r="36" ht="14.15" customHeight="1">
      <c r="A36" s="11" t="n"/>
      <c r="B36" s="11" t="n"/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R36" s="74" t="n"/>
      <c r="S36" s="101" t="n"/>
      <c r="T36" s="101" t="n"/>
      <c r="U36" s="101" t="n"/>
    </row>
    <row r="37">
      <c r="A37" s="11" t="n"/>
      <c r="B37" s="11" t="n"/>
      <c r="C37" s="11" t="n"/>
      <c r="H37" s="11" t="n"/>
      <c r="I37" s="2" t="n"/>
      <c r="J37" s="2" t="n"/>
      <c r="K37" s="2" t="n"/>
      <c r="R37" s="75" t="inlineStr">
        <is>
          <t>Flat</t>
        </is>
      </c>
    </row>
    <row r="38" ht="25.75" customHeight="1">
      <c r="A38" s="12">
        <f>"Yield (&gt; " &amp; $B$48 &amp; "V):"</f>
        <v/>
      </c>
      <c r="B38" s="12" t="n"/>
      <c r="C38" s="27" t="inlineStr">
        <is>
          <t>Data Deviation</t>
        </is>
      </c>
      <c r="D38" s="2" t="n"/>
      <c r="E38" s="22" t="n"/>
      <c r="F38" s="13" t="n"/>
      <c r="G38" s="13" t="n"/>
      <c r="H38" s="11" t="n"/>
      <c r="I38" s="2" t="n"/>
      <c r="J38" s="2" t="n"/>
      <c r="K38" s="2" t="n"/>
    </row>
    <row r="39" ht="18.45" customHeight="1">
      <c r="A39" s="14" t="inlineStr">
        <is>
          <t>Front</t>
        </is>
      </c>
      <c r="B39" s="25">
        <f>ROUNDUP(H140,2)&amp;"%"</f>
        <v/>
      </c>
      <c r="C39" s="28">
        <f>ROUNDUP(STDEVA(F52:F139),1)</f>
        <v/>
      </c>
      <c r="D39" s="2" t="n"/>
      <c r="E39" s="23" t="n"/>
      <c r="F39" s="2" t="inlineStr">
        <is>
          <t>Front Side Testing</t>
        </is>
      </c>
      <c r="G39" s="15" t="n"/>
      <c r="H39" s="11" t="n"/>
      <c r="I39" s="2" t="n"/>
      <c r="J39" s="2" t="n"/>
      <c r="S39" s="21" t="n"/>
    </row>
    <row r="40" ht="18.45" customHeight="1">
      <c r="A40" s="14" t="inlineStr">
        <is>
          <t>Back</t>
        </is>
      </c>
      <c r="B40" s="25">
        <f>ROUNDUP(I140,2)&amp;"%"</f>
        <v/>
      </c>
      <c r="C40" s="28">
        <f>ROUNDUP(STDEVA(G52:G139),1)</f>
        <v/>
      </c>
      <c r="D40" s="2" t="n"/>
      <c r="E40" s="24" t="n"/>
      <c r="F40" s="2" t="inlineStr">
        <is>
          <t>Back Side Testing</t>
        </is>
      </c>
      <c r="G40" s="16" t="n"/>
      <c r="H40" s="16" t="n"/>
      <c r="I40" s="16" t="n"/>
      <c r="J40" s="16" t="n"/>
      <c r="S40" s="21">
        <f>"Bidirectional device &gt;"&amp; $B$48 &amp;"V both sides"</f>
        <v/>
      </c>
      <c r="T40">
        <f>COUNTIF($N$52:$N$139,"BD")</f>
        <v/>
      </c>
    </row>
    <row r="41" ht="18.45" customHeight="1">
      <c r="A41" s="17" t="inlineStr">
        <is>
          <t>Total</t>
        </is>
      </c>
      <c r="B41" s="26">
        <f>ROUNDUP(J140,2)&amp;"%"</f>
        <v/>
      </c>
      <c r="C41" s="29" t="n"/>
      <c r="D41" s="2" t="n"/>
      <c r="E41" s="16" t="n"/>
      <c r="F41" s="16" t="n"/>
      <c r="G41" s="16" t="n"/>
      <c r="H41" s="16" t="n"/>
      <c r="I41" s="16" t="n"/>
      <c r="J41" s="16" t="n"/>
      <c r="O41" s="19" t="n"/>
      <c r="S41" s="21">
        <f>"Single Directional Device &gt;"&amp; ROUNDDOWN($B$48/2,0) &amp;"V one side"</f>
        <v/>
      </c>
      <c r="T41">
        <f>COUNTIF($N$52:$N$139,"UD")</f>
        <v/>
      </c>
    </row>
    <row r="42" ht="18.45" customHeight="1">
      <c r="A42" s="16" t="n"/>
      <c r="B42" s="15" t="n"/>
      <c r="C42" s="15" t="n"/>
      <c r="D42" s="15" t="n"/>
      <c r="E42" s="15" t="n"/>
      <c r="F42" s="15" t="n"/>
      <c r="G42" s="15" t="n"/>
      <c r="H42" s="16" t="n"/>
      <c r="I42" s="16" t="n"/>
      <c r="J42" s="2" t="n"/>
      <c r="O42" s="19" t="n"/>
    </row>
    <row r="43" ht="18.45" customHeight="1">
      <c r="A43" s="70" t="inlineStr">
        <is>
          <t>Average E1E2 good devices</t>
        </is>
      </c>
      <c r="C43" s="42">
        <f>IFERROR(AVERAGEIF(J52:J139,"1",K52:K139),"")</f>
        <v/>
      </c>
      <c r="D43" t="inlineStr">
        <is>
          <t>V@1A</t>
        </is>
      </c>
      <c r="E43" s="15" t="n"/>
      <c r="F43" s="15" t="n"/>
      <c r="G43" s="15" t="n"/>
      <c r="H43" s="16" t="n"/>
      <c r="I43" s="16" t="n"/>
      <c r="J43" s="2" t="n"/>
      <c r="O43" s="19" t="n"/>
      <c r="R43" s="19" t="n"/>
    </row>
    <row r="44" ht="18.45" customHeight="1">
      <c r="A44" s="70" t="inlineStr">
        <is>
          <t>Average E2E1 good devices</t>
        </is>
      </c>
      <c r="C44" s="42">
        <f>IFERROR(AVERAGEIF(J52:J139,"1",L52:L139),"")</f>
        <v/>
      </c>
      <c r="D44" t="inlineStr">
        <is>
          <t>V@1A</t>
        </is>
      </c>
      <c r="E44" s="11" t="n"/>
      <c r="F44" s="11" t="n"/>
      <c r="G44" s="11" t="n"/>
      <c r="H44" s="16" t="n"/>
      <c r="I44" s="16" t="n"/>
      <c r="R44" s="19" t="n"/>
    </row>
    <row r="45" ht="18.45" customHeight="1">
      <c r="A45" s="11" t="n"/>
      <c r="B45" s="11" t="n"/>
      <c r="C45" s="11" t="n"/>
      <c r="D45" s="11" t="n"/>
      <c r="E45" s="11" t="n"/>
      <c r="F45" s="11" t="n"/>
      <c r="G45" s="11" t="n"/>
      <c r="H45" s="16" t="n"/>
      <c r="I45" s="16" t="n"/>
      <c r="J45" s="2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2" t="n"/>
      <c r="J46" s="2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2" t="n"/>
      <c r="J47" s="2" t="n"/>
    </row>
    <row r="48">
      <c r="A48" s="48" t="inlineStr">
        <is>
          <t xml:space="preserve">Yield at </t>
        </is>
      </c>
      <c r="B48" s="49" t="n">
        <v>45</v>
      </c>
      <c r="C48" s="50" t="inlineStr">
        <is>
          <t>V</t>
        </is>
      </c>
      <c r="D48" s="51" t="inlineStr">
        <is>
          <t>Top Threshold</t>
        </is>
      </c>
      <c r="E48" s="49" t="n">
        <v>90</v>
      </c>
      <c r="F48" s="50" t="inlineStr">
        <is>
          <t>V</t>
        </is>
      </c>
    </row>
    <row r="51">
      <c r="A51" s="63" t="inlineStr">
        <is>
          <t>Lot</t>
        </is>
      </c>
      <c r="B51" s="63" t="inlineStr">
        <is>
          <t>Wafer</t>
        </is>
      </c>
      <c r="C51" s="63" t="inlineStr">
        <is>
          <t>Die</t>
        </is>
      </c>
      <c r="D51" s="63" t="inlineStr">
        <is>
          <t>Front</t>
        </is>
      </c>
      <c r="E51" s="63" t="inlineStr">
        <is>
          <t>Back</t>
        </is>
      </c>
      <c r="F51" s="63" t="inlineStr">
        <is>
          <t>FrontBV</t>
        </is>
      </c>
      <c r="G51" s="63" t="inlineStr">
        <is>
          <t>BackBV</t>
        </is>
      </c>
      <c r="H51" s="64" t="inlineStr">
        <is>
          <t>Front Yield</t>
        </is>
      </c>
      <c r="I51" s="64" t="inlineStr">
        <is>
          <t>BackYield</t>
        </is>
      </c>
      <c r="J51" s="64" t="inlineStr">
        <is>
          <t>TotalYield</t>
        </is>
      </c>
      <c r="K51" s="65" t="inlineStr">
        <is>
          <t>E1E2</t>
        </is>
      </c>
      <c r="L51" s="66" t="inlineStr">
        <is>
          <t>E2E1</t>
        </is>
      </c>
    </row>
    <row r="52">
      <c r="A52">
        <f>C2</f>
        <v/>
      </c>
      <c r="B52" t="n">
        <v>1</v>
      </c>
      <c r="C52" t="n">
        <v>1</v>
      </c>
      <c r="D52" s="38" t="n">
        <v>6</v>
      </c>
      <c r="F52" s="18">
        <f t="array" ref="F52">INDIRECT(ADDRESS($D52,MATCH("Die "&amp;$C52,INDIRECT("A"&amp;$D52+1&amp;":J"&amp;$D52+1,TRUE),4),TRUE))</f>
        <v/>
      </c>
      <c r="G52" s="18">
        <f t="array" ref="G52">INDIRECT(ADDRESS(D52+2,MATCH("Die "&amp;C52,INDIRECT("A"&amp;D52+1&amp;":J"&amp;D52+1,TRUE),4),TRUE))</f>
        <v/>
      </c>
      <c r="H52">
        <f>IF(AND(ISNUMBER(F52),F52 &gt;=$B$48,F52&lt;$E$48),1,0)</f>
        <v/>
      </c>
      <c r="I52">
        <f>IF(AND(ISNUMBER(G52),G52 &gt;= $B$48,G52&lt;$E$48),1,0)</f>
        <v/>
      </c>
      <c r="J52">
        <f>IF(AND(H52 = 1, I52 = 1),1,0)</f>
        <v/>
      </c>
      <c r="K52" s="43" t="n"/>
      <c r="N52" s="47">
        <f>IF(OR(ISNUMBER(F52),ISNUMBER(G52)),IF(AND(ISNUMBER(F52),ISNUMBER(G52),F52&gt;=$B$48,G52&gt;=$B$48,F52&lt;$E$48,G52&lt;$E$48),"BD",IF(OR(F52&gt;=$B$48/2,G52&gt;=$B$48/2),"UD","")),"")</f>
        <v/>
      </c>
      <c r="O52" s="43" t="n"/>
      <c r="AA52" s="47">
        <f>IF(AND(N52="",COUNTIF($N$52:$N$139,"UD")=0),"",IF(N52="BD","A",IF(N52="UD","B","C")))</f>
        <v/>
      </c>
    </row>
    <row r="53">
      <c r="C53" t="n">
        <v>2</v>
      </c>
      <c r="D53" s="38" t="n">
        <v>6</v>
      </c>
      <c r="F53" s="18">
        <f t="array" ref="F53">INDIRECT(ADDRESS(D53,MATCH("Die "&amp;C53,INDIRECT("A"&amp;D53+1&amp;":J"&amp;D53+1,TRUE),4),TRUE))</f>
        <v/>
      </c>
      <c r="G53" s="18">
        <f t="array" ref="G53">INDIRECT(ADDRESS(D53+2,MATCH("Die "&amp;C53,INDIRECT("A"&amp;D53+1&amp;":J"&amp;D53+1,TRUE),4),TRUE))</f>
        <v/>
      </c>
      <c r="H53">
        <f>IF(AND(ISNUMBER(F53),F53 &gt;=$B$48,F53&lt;$E$48),1,0)</f>
        <v/>
      </c>
      <c r="I53">
        <f>IF(AND(ISNUMBER(G53),G53 &gt;= $B$48,G53&lt;$E$48),1,0)</f>
        <v/>
      </c>
      <c r="J53">
        <f>IF(AND(H53 = 1, I53 = 1),1,0)</f>
        <v/>
      </c>
      <c r="K53" s="43" t="n"/>
      <c r="N53" s="47">
        <f>IF(OR(ISNUMBER(F53),ISNUMBER(G53)),IF(AND(ISNUMBER(F53),ISNUMBER(G53),F53&gt;=$B$48,G53&gt;=$B$48,F53&lt;$E$48,G53&lt;$E$48),"BD",IF(OR(F53&gt;=$B$48/2,G53&gt;=$B$48/2),"UD","")),"")</f>
        <v/>
      </c>
      <c r="O53" s="43" t="n"/>
      <c r="AA53" s="47">
        <f>IF(AND(N53="",COUNTIF($N$52:$N$139,"UD")=0),"",IF(N53="BD","A",IF(N53="UD","B","C")))</f>
        <v/>
      </c>
    </row>
    <row r="54">
      <c r="C54" t="n">
        <v>3</v>
      </c>
      <c r="D54" s="38" t="n">
        <v>6</v>
      </c>
      <c r="F54" s="18">
        <f t="array" ref="F54">INDIRECT(ADDRESS(D54,MATCH("Die "&amp;C54,INDIRECT("A"&amp;D54+1&amp;":J"&amp;D54+1,TRUE),4),TRUE))</f>
        <v/>
      </c>
      <c r="G54" s="18">
        <f t="array" ref="G54">INDIRECT(ADDRESS(D54+2,MATCH("Die "&amp;C54,INDIRECT("A"&amp;D54+1&amp;":J"&amp;D54+1,TRUE),4),TRUE))</f>
        <v/>
      </c>
      <c r="H54">
        <f>IF(AND(ISNUMBER(F54),F54 &gt;=$B$48,F54&lt;$E$48),1,0)</f>
        <v/>
      </c>
      <c r="I54">
        <f>IF(AND(ISNUMBER(G54),G54 &gt;= $B$48,G54&lt;$E$48),1,0)</f>
        <v/>
      </c>
      <c r="J54">
        <f>IF(AND(H54 = 1, I54 = 1),1,0)</f>
        <v/>
      </c>
      <c r="K54" s="43" t="n"/>
      <c r="N54" s="47">
        <f>IF(OR(ISNUMBER(F54),ISNUMBER(G54)),IF(AND(ISNUMBER(F54),ISNUMBER(G54),F54&gt;=$B$48,G54&gt;=$B$48,F54&lt;$E$48,G54&lt;$E$48),"BD",IF(OR(F54&gt;=$B$48/2,G54&gt;=$B$48/2),"UD","")),"")</f>
        <v/>
      </c>
      <c r="O54" s="43" t="n"/>
      <c r="AA54" s="47">
        <f>IF(AND(N54="",COUNTIF($N$52:$N$139,"UD")=0),"",IF(N54="BD","A",IF(N54="UD","B","C")))</f>
        <v/>
      </c>
    </row>
    <row r="55">
      <c r="A55" t="inlineStr">
        <is>
          <t xml:space="preserve">Search: </t>
        </is>
      </c>
      <c r="B55" s="41" t="n">
        <v>30</v>
      </c>
      <c r="C55" t="n">
        <v>4</v>
      </c>
      <c r="D55" s="38" t="n">
        <v>6</v>
      </c>
      <c r="F55" s="18">
        <f t="array" ref="F55">INDIRECT(ADDRESS(D55,MATCH("Die "&amp;C55,INDIRECT("A"&amp;D55+1&amp;":J"&amp;D55+1,TRUE),4),TRUE))</f>
        <v/>
      </c>
      <c r="G55" s="18">
        <f t="array" ref="G55">INDIRECT(ADDRESS(D55+2,MATCH("Die "&amp;C55,INDIRECT("A"&amp;D55+1&amp;":J"&amp;D55+1,TRUE),4),TRUE))</f>
        <v/>
      </c>
      <c r="H55">
        <f>IF(AND(ISNUMBER(F55),F55 &gt;=$B$48,F55&lt;$E$48),1,0)</f>
        <v/>
      </c>
      <c r="I55">
        <f>IF(AND(ISNUMBER(G55),G55 &gt;= $B$48,G55&lt;$E$48),1,0)</f>
        <v/>
      </c>
      <c r="J55">
        <f>IF(AND(H55 = 1, I55 = 1),1,0)</f>
        <v/>
      </c>
      <c r="K55" s="43" t="n"/>
      <c r="N55" s="47">
        <f>IF(OR(ISNUMBER(F55),ISNUMBER(G55)),IF(AND(ISNUMBER(F55),ISNUMBER(G55),F55&gt;=$B$48,G55&gt;=$B$48,F55&lt;$E$48,G55&lt;$E$48),"BD",IF(OR(F55&gt;=$B$48/2,G55&gt;=$B$48/2),"UD","")),"")</f>
        <v/>
      </c>
      <c r="O55" s="43" t="n"/>
      <c r="AA55" s="47">
        <f>IF(AND(N55="",COUNTIF($N$52:$N$139,"UD")=0),"",IF(N55="BD","A",IF(N55="UD","B","C")))</f>
        <v/>
      </c>
    </row>
    <row r="56">
      <c r="C56" t="n">
        <v>5</v>
      </c>
      <c r="D56" s="38" t="n">
        <v>6</v>
      </c>
      <c r="F56" s="18">
        <f t="array" ref="F56">INDIRECT(ADDRESS(D56,MATCH("Die "&amp;C56,INDIRECT("A"&amp;D56+1&amp;":J"&amp;D56+1,TRUE),4),TRUE))</f>
        <v/>
      </c>
      <c r="G56" s="18">
        <f t="array" ref="G56">INDIRECT(ADDRESS(D56+2,MATCH("Die "&amp;C56,INDIRECT("A"&amp;D56+1&amp;":J"&amp;D56+1,TRUE),4),TRUE))</f>
        <v/>
      </c>
      <c r="H56">
        <f>IF(AND(ISNUMBER(F56),F56 &gt;=$B$48,F56&lt;$E$48),1,0)</f>
        <v/>
      </c>
      <c r="I56">
        <f>IF(AND(ISNUMBER(G56),G56 &gt;= $B$48,G56&lt;$E$48),1,0)</f>
        <v/>
      </c>
      <c r="J56">
        <f>IF(AND(H56 = 1, I56 = 1),1,0)</f>
        <v/>
      </c>
      <c r="K56" s="43" t="n"/>
      <c r="N56" s="47">
        <f>IF(OR(ISNUMBER(F56),ISNUMBER(G56)),IF(AND(ISNUMBER(F56),ISNUMBER(G56),F56&gt;=$B$48,G56&gt;=$B$48,F56&lt;$E$48,G56&lt;$E$48),"BD",IF(OR(F56&gt;=$B$48/2,G56&gt;=$B$48/2),"UD","")),"")</f>
        <v/>
      </c>
      <c r="O56" s="43" t="n"/>
      <c r="AA56" s="47">
        <f>IF(AND(N56="",COUNTIF($N$52:$N$139,"UD")=0),"",IF(N56="BD","A",IF(N56="UD","B","C")))</f>
        <v/>
      </c>
    </row>
    <row r="57">
      <c r="C57" s="20" t="n">
        <v>6</v>
      </c>
      <c r="D57" s="44" t="n">
        <v>6</v>
      </c>
      <c r="E57" s="20" t="n"/>
      <c r="F57" s="18">
        <f t="array" ref="F57">INDIRECT(ADDRESS(D57,MATCH("Die "&amp;C57,INDIRECT("A"&amp;D57+1&amp;":J"&amp;D57+1,TRUE),4),TRUE))</f>
        <v/>
      </c>
      <c r="G57" s="18">
        <f t="array" ref="G57">INDIRECT(ADDRESS(D57+2,MATCH("Die "&amp;C57,INDIRECT("A"&amp;D57+1&amp;":J"&amp;D57+1,TRUE),4),TRUE))</f>
        <v/>
      </c>
      <c r="H57">
        <f>IF(AND(ISNUMBER(F57),F57 &gt;=$B$48,F57&lt;$E$48),1,0)</f>
        <v/>
      </c>
      <c r="I57">
        <f>IF(AND(ISNUMBER(G57),G57 &gt;= $B$48,G57&lt;$E$48),1,0)</f>
        <v/>
      </c>
      <c r="J57">
        <f>IF(AND(H57 = 1, I57 = 1),1,0)</f>
        <v/>
      </c>
      <c r="K57" s="43" t="n"/>
      <c r="N57" s="47">
        <f>IF(OR(ISNUMBER(F57),ISNUMBER(G57)),IF(AND(ISNUMBER(F57),ISNUMBER(G57),F57&gt;=$B$48,G57&gt;=$B$48,F57&lt;$E$48,G57&lt;$E$48),"BD",IF(OR(F57&gt;=$B$48/2,G57&gt;=$B$48/2),"UD","")),"")</f>
        <v/>
      </c>
      <c r="O57" s="43" t="n"/>
      <c r="AA57" s="47">
        <f>IF(AND(N57="",COUNTIF($N$52:$N$139,"UD")=0),"",IF(N57="BD","A",IF(N57="UD","B","C")))</f>
        <v/>
      </c>
    </row>
    <row r="58">
      <c r="A58" t="inlineStr">
        <is>
          <t>Min F</t>
        </is>
      </c>
      <c r="B58" s="18">
        <f>MIN($F$52:$F$139)</f>
        <v/>
      </c>
      <c r="C58" t="n">
        <v>7</v>
      </c>
      <c r="D58" s="38" t="n">
        <v>9</v>
      </c>
      <c r="F58" s="18">
        <f>B9</f>
        <v/>
      </c>
      <c r="G58" s="18">
        <f>B11</f>
        <v/>
      </c>
      <c r="H58">
        <f>IF(AND(ISNUMBER(F58),F58 &gt;=$B$48,F58&lt;$E$48),1,0)</f>
        <v/>
      </c>
      <c r="I58">
        <f>IF(AND(ISNUMBER(G58),G58 &gt;= $B$48,G58&lt;$E$48),1,0)</f>
        <v/>
      </c>
      <c r="J58">
        <f>IF(AND(H58 = 1, I58 = 1),1,0)</f>
        <v/>
      </c>
      <c r="K58" s="43" t="n"/>
      <c r="N58" s="47">
        <f>IF(OR(ISNUMBER(F58),ISNUMBER(G58)),IF(AND(ISNUMBER(F58),ISNUMBER(G58),F58&gt;=$B$48,G58&gt;=$B$48,F58&lt;$E$48,G58&lt;$E$48),"BD",IF(OR(F58&gt;=$B$48/2,G58&gt;=$B$48/2),"UD","")),"")</f>
        <v/>
      </c>
      <c r="O58" s="43" t="n"/>
      <c r="AA58" s="47">
        <f>IF(AND(N58="",COUNTIF($N$52:$N$139,"UD")=0),"",IF(N58="BD","A",IF(N58="UD","B","C")))</f>
        <v/>
      </c>
    </row>
    <row r="59">
      <c r="A59" s="20" t="inlineStr">
        <is>
          <t>Max F</t>
        </is>
      </c>
      <c r="B59" s="30">
        <f>MAX($F$52:$F$139)</f>
        <v/>
      </c>
      <c r="C59" t="n">
        <v>8</v>
      </c>
      <c r="D59" s="38">
        <f>IF(D58=D57,D58,D57+3)</f>
        <v/>
      </c>
      <c r="F59" s="18">
        <f>C9</f>
        <v/>
      </c>
      <c r="G59" s="18">
        <f>C11</f>
        <v/>
      </c>
      <c r="H59">
        <f>IF(AND(ISNUMBER(F59),F59 &gt;=$B$48,F59&lt;$E$48),1,0)</f>
        <v/>
      </c>
      <c r="I59">
        <f>IF(AND(ISNUMBER(G59),G59 &gt;= $B$48,G59&lt;$E$48),1,0)</f>
        <v/>
      </c>
      <c r="J59">
        <f>IF(AND(H59 = 1, I59 = 1),1,0)</f>
        <v/>
      </c>
      <c r="K59" s="43" t="n"/>
      <c r="N59" s="47">
        <f>IF(OR(ISNUMBER(F59),ISNUMBER(G59)),IF(AND(ISNUMBER(F59),ISNUMBER(G59),F59&gt;=$B$48,G59&gt;=$B$48,F59&lt;$E$48,G59&lt;$E$48),"BD",IF(OR(F59&gt;=$B$48/2,G59&gt;=$B$48/2),"UD","")),"")</f>
        <v/>
      </c>
      <c r="O59" s="43" t="n"/>
      <c r="AA59" s="47">
        <f>IF(AND(N59="",COUNTIF($N$52:$N$139,"UD")=0),"",IF(N59="BD","A",IF(N59="UD","B","C")))</f>
        <v/>
      </c>
    </row>
    <row r="60">
      <c r="A60" t="inlineStr">
        <is>
          <t>Min B</t>
        </is>
      </c>
      <c r="B60" s="18">
        <f>MIN($G$52:$G$139)</f>
        <v/>
      </c>
      <c r="C60" t="n">
        <v>9</v>
      </c>
      <c r="D60" s="38">
        <f>IF(D59=D58,D59,D58+3)</f>
        <v/>
      </c>
      <c r="F60" s="18">
        <f>D9</f>
        <v/>
      </c>
      <c r="G60" s="18">
        <f>D11</f>
        <v/>
      </c>
      <c r="H60">
        <f>IF(AND(ISNUMBER(F60),F60 &gt;=$B$48,F60&lt;$E$48),1,0)</f>
        <v/>
      </c>
      <c r="I60">
        <f>IF(AND(ISNUMBER(G60),G60 &gt;= $B$48,G60&lt;$E$48),1,0)</f>
        <v/>
      </c>
      <c r="J60">
        <f>IF(AND(H60 = 1, I60 = 1),1,0)</f>
        <v/>
      </c>
      <c r="K60" s="43" t="n"/>
      <c r="N60" s="47">
        <f>IF(OR(ISNUMBER(F60),ISNUMBER(G60)),IF(AND(ISNUMBER(F60),ISNUMBER(G60),F60&gt;=$B$48,G60&gt;=$B$48,F60&lt;$E$48,G60&lt;$E$48),"BD",IF(OR(F60&gt;=$B$48/2,G60&gt;=$B$48/2),"UD","")),"")</f>
        <v/>
      </c>
      <c r="O60" s="43" t="n"/>
      <c r="AA60" s="47">
        <f>IF(AND(N60="",COUNTIF($N$52:$N$139,"UD")=0),"",IF(N60="BD","A",IF(N60="UD","B","C")))</f>
        <v/>
      </c>
    </row>
    <row r="61">
      <c r="A61" t="inlineStr">
        <is>
          <t>Max B</t>
        </is>
      </c>
      <c r="B61" s="18">
        <f>MAX($G$52:$G$139)</f>
        <v/>
      </c>
      <c r="C61" t="n">
        <v>10</v>
      </c>
      <c r="D61" s="38">
        <f>IF(D60=D59,D60,D59+3)</f>
        <v/>
      </c>
      <c r="F61" s="18">
        <f>E9</f>
        <v/>
      </c>
      <c r="G61" s="18">
        <f>E11</f>
        <v/>
      </c>
      <c r="H61">
        <f>IF(AND(ISNUMBER(F61),F61 &gt;=$B$48,F61&lt;$E$48),1,0)</f>
        <v/>
      </c>
      <c r="I61">
        <f>IF(AND(ISNUMBER(G61),G61 &gt;= $B$48,G61&lt;$E$48),1,0)</f>
        <v/>
      </c>
      <c r="J61">
        <f>IF(AND(H61 = 1, I61 = 1),1,0)</f>
        <v/>
      </c>
      <c r="K61" s="43" t="n"/>
      <c r="N61" s="47">
        <f>IF(OR(ISNUMBER(F61),ISNUMBER(G61)),IF(AND(ISNUMBER(F61),ISNUMBER(G61),F61&gt;=$B$48,G61&gt;=$B$48,F61&lt;$E$48,G61&lt;$E$48),"BD",IF(OR(F61&gt;=$B$48/2,G61&gt;=$B$48/2),"UD","")),"")</f>
        <v/>
      </c>
      <c r="O61" s="43" t="n"/>
      <c r="AA61" s="47">
        <f>IF(AND(N61="",COUNTIF($N$52:$N$139,"UD")=0),"",IF(N61="BD","A",IF(N61="UD","B","C")))</f>
        <v/>
      </c>
    </row>
    <row r="62">
      <c r="C62" t="n">
        <v>11</v>
      </c>
      <c r="D62" s="38">
        <f>IF(D61=D60,D61,D60+3)</f>
        <v/>
      </c>
      <c r="F62" s="18">
        <f>F9</f>
        <v/>
      </c>
      <c r="G62" s="18">
        <f>F11</f>
        <v/>
      </c>
      <c r="H62">
        <f>IF(AND(ISNUMBER(F62),F62 &gt;=$B$48,F62&lt;$E$48),1,0)</f>
        <v/>
      </c>
      <c r="I62">
        <f>IF(AND(ISNUMBER(G62),G62 &gt;= $B$48,G62&lt;$E$48),1,0)</f>
        <v/>
      </c>
      <c r="J62">
        <f>IF(AND(H62 = 1, I62 = 1),1,0)</f>
        <v/>
      </c>
      <c r="K62" s="43" t="n"/>
      <c r="N62" s="47">
        <f>IF(OR(ISNUMBER(F62),ISNUMBER(G62)),IF(AND(ISNUMBER(F62),ISNUMBER(G62),F62&gt;=$B$48,G62&gt;=$B$48,F62&lt;$E$48,G62&lt;$E$48),"BD",IF(OR(F62&gt;=$B$48/2,G62&gt;=$B$48/2),"UD","")),"")</f>
        <v/>
      </c>
      <c r="O62" s="43" t="n"/>
      <c r="AA62" s="47">
        <f>IF(AND(N62="",COUNTIF($N$52:$N$139,"UD")=0),"",IF(N62="BD","A",IF(N62="UD","B","C")))</f>
        <v/>
      </c>
    </row>
    <row r="63">
      <c r="C63" t="n">
        <v>12</v>
      </c>
      <c r="D63" s="38">
        <f>IF(D62=D61,D62,D61+3)</f>
        <v/>
      </c>
      <c r="F63" s="18">
        <f>G9</f>
        <v/>
      </c>
      <c r="G63" s="18">
        <f>G11</f>
        <v/>
      </c>
      <c r="H63">
        <f>IF(AND(ISNUMBER(F63),F63 &gt;=$B$48,F63&lt;$E$48),1,0)</f>
        <v/>
      </c>
      <c r="I63">
        <f>IF(AND(ISNUMBER(G63),G63 &gt;= $B$48,G63&lt;$E$48),1,0)</f>
        <v/>
      </c>
      <c r="J63">
        <f>IF(AND(H63 = 1, I63 = 1),1,0)</f>
        <v/>
      </c>
      <c r="K63" s="43" t="n"/>
      <c r="N63" s="47">
        <f>IF(OR(ISNUMBER(F63),ISNUMBER(G63)),IF(AND(ISNUMBER(F63),ISNUMBER(G63),F63&gt;=$B$48,G63&gt;=$B$48,F63&lt;$E$48,G63&lt;$E$48),"BD",IF(OR(F63&gt;=$B$48/2,G63&gt;=$B$48/2),"UD","")),"")</f>
        <v/>
      </c>
      <c r="O63" s="43" t="n"/>
      <c r="AA63" s="47">
        <f>IF(AND(N63="",COUNTIF($N$52:$N$139,"UD")=0),"",IF(N63="BD","A",IF(N63="UD","B","C")))</f>
        <v/>
      </c>
    </row>
    <row r="64">
      <c r="C64" t="n">
        <v>13</v>
      </c>
      <c r="D64" s="38">
        <f>IF(D63=D62,D63,D62+3)</f>
        <v/>
      </c>
      <c r="F64" s="18">
        <f>H9</f>
        <v/>
      </c>
      <c r="G64" s="18">
        <f>H11</f>
        <v/>
      </c>
      <c r="H64">
        <f>IF(AND(ISNUMBER(F64),F64 &gt;=$B$48,F64&lt;$E$48),1,0)</f>
        <v/>
      </c>
      <c r="I64">
        <f>IF(AND(ISNUMBER(G64),G64 &gt;= $B$48,G64&lt;$E$48),1,0)</f>
        <v/>
      </c>
      <c r="J64">
        <f>IF(AND(H64 = 1, I64 = 1),1,0)</f>
        <v/>
      </c>
      <c r="K64" s="43" t="n"/>
      <c r="N64" s="47">
        <f>IF(OR(ISNUMBER(F64),ISNUMBER(G64)),IF(AND(ISNUMBER(F64),ISNUMBER(G64),F64&gt;=$B$48,G64&gt;=$B$48,F64&lt;$E$48,G64&lt;$E$48),"BD",IF(OR(F64&gt;=$B$48/2,G64&gt;=$B$48/2),"UD","")),"")</f>
        <v/>
      </c>
      <c r="O64" s="43" t="n"/>
      <c r="AA64" s="47">
        <f>IF(AND(N64="",COUNTIF($N$52:$N$139,"UD")=0),"",IF(N64="BD","A",IF(N64="UD","B","C")))</f>
        <v/>
      </c>
    </row>
    <row r="65">
      <c r="C65" s="20" t="n">
        <v>14</v>
      </c>
      <c r="D65" s="44">
        <f>IF(D64=D63,D64,D63+3)</f>
        <v/>
      </c>
      <c r="E65" s="20" t="n"/>
      <c r="F65" s="18">
        <f>I9</f>
        <v/>
      </c>
      <c r="G65" s="18">
        <f>I11</f>
        <v/>
      </c>
      <c r="H65">
        <f>IF(AND(ISNUMBER(F65),F65 &gt;=$B$48,F65&lt;$E$48),1,0)</f>
        <v/>
      </c>
      <c r="I65">
        <f>IF(AND(ISNUMBER(G65),G65 &gt;= $B$48,G65&lt;$E$48),1,0)</f>
        <v/>
      </c>
      <c r="J65">
        <f>IF(AND(H65 = 1, I65 = 1),1,0)</f>
        <v/>
      </c>
      <c r="K65" s="43" t="n"/>
      <c r="N65" s="47">
        <f>IF(OR(ISNUMBER(F65),ISNUMBER(G65)),IF(AND(ISNUMBER(F65),ISNUMBER(G65),F65&gt;=$B$48,G65&gt;=$B$48,F65&lt;$E$48,G65&lt;$E$48),"BD",IF(OR(F65&gt;=$B$48/2,G65&gt;=$B$48/2),"UD","")),"")</f>
        <v/>
      </c>
      <c r="O65" s="43" t="n"/>
      <c r="AA65" s="47">
        <f>IF(AND(N65="",COUNTIF($N$52:$N$139,"UD")=0),"",IF(N65="BD","A",IF(N65="UD","B","C")))</f>
        <v/>
      </c>
    </row>
    <row r="66">
      <c r="C66" t="n">
        <v>15</v>
      </c>
      <c r="D66" s="38" t="n">
        <v>12</v>
      </c>
      <c r="F66" s="18">
        <f t="array" ref="F66">INDIRECT(ADDRESS(D66,MATCH("Die "&amp;C66,INDIRECT("A"&amp;D66+1&amp;":J"&amp;D66+1,TRUE),4),TRUE))</f>
        <v/>
      </c>
      <c r="G66" s="18">
        <f t="array" ref="G66">INDIRECT(ADDRESS(D66+2,MATCH("Die "&amp;C66,INDIRECT("A"&amp;D66+1&amp;":J"&amp;D66+1,TRUE),4),TRUE))</f>
        <v/>
      </c>
      <c r="H66">
        <f>IF(AND(ISNUMBER(F66),F66 &gt;=$B$48,F66&lt;$E$48),1,0)</f>
        <v/>
      </c>
      <c r="I66">
        <f>IF(AND(ISNUMBER(G66),G66 &gt;= $B$48,G66&lt;$E$48),1,0)</f>
        <v/>
      </c>
      <c r="J66">
        <f>IF(AND(H66 = 1, I66 = 1),1,0)</f>
        <v/>
      </c>
      <c r="K66" s="43" t="n"/>
      <c r="N66" s="47">
        <f>IF(OR(ISNUMBER(F66),ISNUMBER(G66)),IF(AND(ISNUMBER(F66),ISNUMBER(G66),F66&gt;=$B$48,G66&gt;=$B$48,F66&lt;$E$48,G66&lt;$E$48),"BD",IF(OR(F66&gt;=$B$48/2,G66&gt;=$B$48/2),"UD","")),"")</f>
        <v/>
      </c>
      <c r="O66" s="43" t="n"/>
      <c r="AA66" s="47">
        <f>IF(AND(N66="",COUNTIF($N$52:$N$139,"UD")=0),"",IF(N66="BD","A",IF(N66="UD","B","C")))</f>
        <v/>
      </c>
    </row>
    <row r="67">
      <c r="C67" t="n">
        <v>16</v>
      </c>
      <c r="D67" s="38">
        <f>IF(D66=D65,D66,D65+3)</f>
        <v/>
      </c>
      <c r="F67" s="18">
        <f t="array" ref="F67">INDIRECT(ADDRESS(D67,MATCH("Die "&amp;C67,INDIRECT("A"&amp;D67+1&amp;":J"&amp;D67+1,TRUE),4),TRUE))</f>
        <v/>
      </c>
      <c r="G67" s="18">
        <f t="array" ref="G67">INDIRECT(ADDRESS(D67+2,MATCH("Die "&amp;C67,INDIRECT("A"&amp;D67+1&amp;":J"&amp;D67+1,TRUE),4),TRUE))</f>
        <v/>
      </c>
      <c r="H67">
        <f>IF(AND(ISNUMBER(F67),F67 &gt;=$B$48,F67&lt;$E$48),1,0)</f>
        <v/>
      </c>
      <c r="I67">
        <f>IF(AND(ISNUMBER(G67),G67 &gt;= $B$48,G67&lt;$E$48),1,0)</f>
        <v/>
      </c>
      <c r="J67">
        <f>IF(AND(H67 = 1, I67 = 1),1,0)</f>
        <v/>
      </c>
      <c r="K67" s="43" t="n"/>
      <c r="N67" s="47">
        <f>IF(OR(ISNUMBER(F67),ISNUMBER(G67)),IF(AND(ISNUMBER(F67),ISNUMBER(G67),F67&gt;=$B$48,G67&gt;=$B$48,F67&lt;$E$48,G67&lt;$E$48),"BD",IF(OR(F67&gt;=$B$48/2,G67&gt;=$B$48/2),"UD","")),"")</f>
        <v/>
      </c>
      <c r="O67" s="43" t="n"/>
      <c r="AA67" s="47">
        <f>IF(AND(N67="",COUNTIF($N$52:$N$139,"UD")=0),"",IF(N67="BD","A",IF(N67="UD","B","C")))</f>
        <v/>
      </c>
    </row>
    <row r="68">
      <c r="C68" t="n">
        <v>17</v>
      </c>
      <c r="D68" s="38">
        <f>IF(D67=D66,D67,D66+3)</f>
        <v/>
      </c>
      <c r="F68" s="18">
        <f t="array" ref="F68">INDIRECT(ADDRESS(D68,MATCH("Die "&amp;C68,INDIRECT("A"&amp;D68+1&amp;":J"&amp;D68+1,TRUE),4),TRUE))</f>
        <v/>
      </c>
      <c r="G68" s="18">
        <f t="array" ref="G68">INDIRECT(ADDRESS(D68+2,MATCH("Die "&amp;C68,INDIRECT("A"&amp;D68+1&amp;":J"&amp;D68+1,TRUE),4),TRUE))</f>
        <v/>
      </c>
      <c r="H68">
        <f>IF(AND(ISNUMBER(F68),F68 &gt;=$B$48,F68&lt;$E$48),1,0)</f>
        <v/>
      </c>
      <c r="I68">
        <f>IF(AND(ISNUMBER(G68),G68 &gt;= $B$48,G68&lt;$E$48),1,0)</f>
        <v/>
      </c>
      <c r="J68">
        <f>IF(AND(H68 = 1, I68 = 1),1,0)</f>
        <v/>
      </c>
      <c r="K68" s="43" t="n"/>
      <c r="N68" s="47">
        <f>IF(OR(ISNUMBER(F68),ISNUMBER(G68)),IF(AND(ISNUMBER(F68),ISNUMBER(G68),F68&gt;=$B$48,G68&gt;=$B$48,F68&lt;$E$48,G68&lt;$E$48),"BD",IF(OR(F68&gt;=$B$48/2,G68&gt;=$B$48/2),"UD","")),"")</f>
        <v/>
      </c>
      <c r="O68" s="43" t="n"/>
      <c r="AA68" s="47">
        <f>IF(AND(N68="",COUNTIF($N$52:$N$139,"UD")=0),"",IF(N68="BD","A",IF(N68="UD","B","C")))</f>
        <v/>
      </c>
    </row>
    <row r="69">
      <c r="C69" t="n">
        <v>18</v>
      </c>
      <c r="D69" s="38">
        <f>IF(D68=D67,D68,D67+3)</f>
        <v/>
      </c>
      <c r="F69" s="18">
        <f t="array" ref="F69">INDIRECT(ADDRESS(D69,MATCH("Die "&amp;C69,INDIRECT("A"&amp;D69+1&amp;":J"&amp;D69+1,TRUE),4),TRUE))</f>
        <v/>
      </c>
      <c r="G69" s="18">
        <f t="array" ref="G69">INDIRECT(ADDRESS(D69+2,MATCH("Die "&amp;C69,INDIRECT("A"&amp;D69+1&amp;":J"&amp;D69+1,TRUE),4),TRUE))</f>
        <v/>
      </c>
      <c r="H69">
        <f>IF(AND(ISNUMBER(F69),F69 &gt;=$B$48,F69&lt;$E$48),1,0)</f>
        <v/>
      </c>
      <c r="I69">
        <f>IF(AND(ISNUMBER(G69),G69 &gt;= $B$48,G69&lt;$E$48),1,0)</f>
        <v/>
      </c>
      <c r="J69">
        <f>IF(AND(H69 = 1, I69 = 1),1,0)</f>
        <v/>
      </c>
      <c r="K69" s="43" t="n"/>
      <c r="N69" s="47">
        <f>IF(OR(ISNUMBER(F69),ISNUMBER(G69)),IF(AND(ISNUMBER(F69),ISNUMBER(G69),F69&gt;=$B$48,G69&gt;=$B$48,F69&lt;$E$48,G69&lt;$E$48),"BD",IF(OR(F69&gt;=$B$48/2,G69&gt;=$B$48/2),"UD","")),"")</f>
        <v/>
      </c>
      <c r="O69" s="43" t="n"/>
      <c r="AA69" s="47">
        <f>IF(AND(N69="",COUNTIF($N$52:$N$139,"UD")=0),"",IF(N69="BD","A",IF(N69="UD","B","C")))</f>
        <v/>
      </c>
    </row>
    <row r="70">
      <c r="C70" t="n">
        <v>19</v>
      </c>
      <c r="D70" s="38">
        <f>IF(D69=D68,D69,D68+3)</f>
        <v/>
      </c>
      <c r="F70" s="18">
        <f t="array" ref="F70">INDIRECT(ADDRESS(D70,MATCH("Die "&amp;C70,INDIRECT("A"&amp;D70+1&amp;":J"&amp;D70+1,TRUE),4),TRUE))</f>
        <v/>
      </c>
      <c r="G70" s="18">
        <f t="array" ref="G70">INDIRECT(ADDRESS(D70+2,MATCH("Die "&amp;C70,INDIRECT("A"&amp;D70+1&amp;":J"&amp;D70+1,TRUE),4),TRUE))</f>
        <v/>
      </c>
      <c r="H70">
        <f>IF(AND(ISNUMBER(F70),F70 &gt;=$B$48,F70&lt;$E$48),1,0)</f>
        <v/>
      </c>
      <c r="I70">
        <f>IF(AND(ISNUMBER(G70),G70 &gt;= $B$48,G70&lt;$E$48),1,0)</f>
        <v/>
      </c>
      <c r="J70">
        <f>IF(AND(H70 = 1, I70 = 1),1,0)</f>
        <v/>
      </c>
      <c r="K70" s="43" t="n"/>
      <c r="N70" s="47">
        <f>IF(OR(ISNUMBER(F70),ISNUMBER(G70)),IF(AND(ISNUMBER(F70),ISNUMBER(G70),F70&gt;=$B$48,G70&gt;=$B$48,F70&lt;$E$48,G70&lt;$E$48),"BD",IF(OR(F70&gt;=$B$48/2,G70&gt;=$B$48/2),"UD","")),"")</f>
        <v/>
      </c>
      <c r="O70" s="43" t="n"/>
      <c r="AA70" s="47">
        <f>IF(AND(N70="",COUNTIF($N$52:$N$139,"UD")=0),"",IF(N70="BD","A",IF(N70="UD","B","C")))</f>
        <v/>
      </c>
    </row>
    <row r="71">
      <c r="C71" t="n">
        <v>20</v>
      </c>
      <c r="D71" s="38">
        <f>IF(D70=D69,D70,D69+3)</f>
        <v/>
      </c>
      <c r="F71" s="18">
        <f t="array" ref="F71">INDIRECT(ADDRESS(D71,MATCH("Die "&amp;C71,INDIRECT("A"&amp;D71+1&amp;":J"&amp;D71+1,TRUE),4),TRUE))</f>
        <v/>
      </c>
      <c r="G71" s="18">
        <f t="array" ref="G71">INDIRECT(ADDRESS(D71+2,MATCH("Die "&amp;C71,INDIRECT("A"&amp;D71+1&amp;":J"&amp;D71+1,TRUE),4),TRUE))</f>
        <v/>
      </c>
      <c r="H71">
        <f>IF(AND(ISNUMBER(F71),F71 &gt;=$B$48,F71&lt;$E$48),1,0)</f>
        <v/>
      </c>
      <c r="I71">
        <f>IF(AND(ISNUMBER(G71),G71 &gt;= $B$48,G71&lt;$E$48),1,0)</f>
        <v/>
      </c>
      <c r="J71">
        <f>IF(AND(H71 = 1, I71 = 1),1,0)</f>
        <v/>
      </c>
      <c r="K71" s="43" t="n"/>
      <c r="N71" s="47">
        <f>IF(OR(ISNUMBER(F71),ISNUMBER(G71)),IF(AND(ISNUMBER(F71),ISNUMBER(G71),F71&gt;=$B$48,G71&gt;=$B$48,F71&lt;$E$48,G71&lt;$E$48),"BD",IF(OR(F71&gt;=$B$48/2,G71&gt;=$B$48/2),"UD","")),"")</f>
        <v/>
      </c>
      <c r="O71" s="43" t="n"/>
      <c r="AA71" s="47">
        <f>IF(AND(N71="",COUNTIF($N$52:$N$139,"UD")=0),"",IF(N71="BD","A",IF(N71="UD","B","C")))</f>
        <v/>
      </c>
    </row>
    <row r="72">
      <c r="C72" t="n">
        <v>21</v>
      </c>
      <c r="D72" s="38">
        <f>IF(D71=D70,D71,D70+3)</f>
        <v/>
      </c>
      <c r="F72" s="18">
        <f t="array" ref="F72">INDIRECT(ADDRESS(D72,MATCH("Die "&amp;C72,INDIRECT("A"&amp;D72+1&amp;":J"&amp;D72+1,TRUE),4),TRUE))</f>
        <v/>
      </c>
      <c r="G72" s="18">
        <f t="array" ref="G72">INDIRECT(ADDRESS(D72+2,MATCH("Die "&amp;C72,INDIRECT("A"&amp;D72+1&amp;":J"&amp;D72+1,TRUE),4),TRUE))</f>
        <v/>
      </c>
      <c r="H72">
        <f>IF(AND(ISNUMBER(F72),F72 &gt;=$B$48,F72&lt;$E$48),1,0)</f>
        <v/>
      </c>
      <c r="I72">
        <f>IF(AND(ISNUMBER(G72),G72 &gt;= $B$48,G72&lt;$E$48),1,0)</f>
        <v/>
      </c>
      <c r="J72">
        <f>IF(AND(H72 = 1, I72 = 1),1,0)</f>
        <v/>
      </c>
      <c r="K72" s="43" t="n"/>
      <c r="N72" s="47">
        <f>IF(OR(ISNUMBER(F72),ISNUMBER(G72)),IF(AND(ISNUMBER(F72),ISNUMBER(G72),F72&gt;=$B$48,G72&gt;=$B$48,F72&lt;$E$48,G72&lt;$E$48),"BD",IF(OR(F72&gt;=$B$48/2,G72&gt;=$B$48/2),"UD","")),"")</f>
        <v/>
      </c>
      <c r="O72" s="43" t="n"/>
      <c r="AA72" s="47">
        <f>IF(AND(N72="",COUNTIF($N$52:$N$139,"UD")=0),"",IF(N72="BD","A",IF(N72="UD","B","C")))</f>
        <v/>
      </c>
    </row>
    <row r="73">
      <c r="C73" t="n">
        <v>22</v>
      </c>
      <c r="D73" s="38">
        <f>IF(D72=D71,D72,D71+3)</f>
        <v/>
      </c>
      <c r="F73" s="18">
        <f t="array" ref="F73">INDIRECT(ADDRESS(D73,MATCH("Die "&amp;C73,INDIRECT("A"&amp;D73+1&amp;":J"&amp;D73+1,TRUE),4),TRUE))</f>
        <v/>
      </c>
      <c r="G73" s="18">
        <f t="array" ref="G73">INDIRECT(ADDRESS(D73+2,MATCH("Die "&amp;C73,INDIRECT("A"&amp;D73+1&amp;":J"&amp;D73+1,TRUE),4),TRUE))</f>
        <v/>
      </c>
      <c r="H73">
        <f>IF(AND(ISNUMBER(F73),F73 &gt;=$B$48,F73&lt;$E$48),1,0)</f>
        <v/>
      </c>
      <c r="I73">
        <f>IF(AND(ISNUMBER(G73),G73 &gt;= $B$48,G73&lt;$E$48),1,0)</f>
        <v/>
      </c>
      <c r="J73">
        <f>IF(AND(H73 = 1, I73 = 1),1,0)</f>
        <v/>
      </c>
      <c r="K73" s="43" t="n"/>
      <c r="N73" s="47">
        <f>IF(OR(ISNUMBER(F73),ISNUMBER(G73)),IF(AND(ISNUMBER(F73),ISNUMBER(G73),F73&gt;=$B$48,G73&gt;=$B$48,F73&lt;$E$48,G73&lt;$E$48),"BD",IF(OR(F73&gt;=$B$48/2,G73&gt;=$B$48/2),"UD","")),"")</f>
        <v/>
      </c>
      <c r="O73" s="43" t="n"/>
      <c r="AA73" s="47">
        <f>IF(AND(N73="",COUNTIF($N$52:$N$139,"UD")=0),"",IF(N73="BD","A",IF(N73="UD","B","C")))</f>
        <v/>
      </c>
    </row>
    <row r="74">
      <c r="C74" t="n">
        <v>23</v>
      </c>
      <c r="D74" s="38">
        <f>IF(D73=D72,D73,D72+3)</f>
        <v/>
      </c>
      <c r="F74" s="18">
        <f t="array" ref="F74">INDIRECT(ADDRESS(D74,MATCH("Die "&amp;C74,INDIRECT("A"&amp;D74+1&amp;":J"&amp;D74+1,TRUE),4),TRUE))</f>
        <v/>
      </c>
      <c r="G74" s="18">
        <f t="array" ref="G74">INDIRECT(ADDRESS(D74+2,MATCH("Die "&amp;C74,INDIRECT("A"&amp;D74+1&amp;":J"&amp;D74+1,TRUE),4),TRUE))</f>
        <v/>
      </c>
      <c r="H74">
        <f>IF(AND(ISNUMBER(F74),F74 &gt;=$B$48,F74&lt;$E$48),1,0)</f>
        <v/>
      </c>
      <c r="I74">
        <f>IF(AND(ISNUMBER(G74),G74 &gt;= $B$48,G74&lt;$E$48),1,0)</f>
        <v/>
      </c>
      <c r="J74">
        <f>IF(AND(H74 = 1, I74 = 1),1,0)</f>
        <v/>
      </c>
      <c r="K74" s="43" t="n"/>
      <c r="N74" s="47">
        <f>IF(OR(ISNUMBER(F74),ISNUMBER(G74)),IF(AND(ISNUMBER(F74),ISNUMBER(G74),F74&gt;=$B$48,G74&gt;=$B$48,F74&lt;$E$48,G74&lt;$E$48),"BD",IF(OR(F74&gt;=$B$48/2,G74&gt;=$B$48/2),"UD","")),"")</f>
        <v/>
      </c>
      <c r="O74" s="43" t="n"/>
      <c r="AA74" s="47">
        <f>IF(AND(N74="",COUNTIF($N$52:$N$139,"UD")=0),"",IF(N74="BD","A",IF(N74="UD","B","C")))</f>
        <v/>
      </c>
    </row>
    <row r="75">
      <c r="C75" s="20" t="n">
        <v>24</v>
      </c>
      <c r="D75" s="44">
        <f>IF(D74=D73,D74,D73+3)</f>
        <v/>
      </c>
      <c r="E75" s="20" t="n"/>
      <c r="F75" s="18">
        <f t="array" ref="F75">INDIRECT(ADDRESS(D75,MATCH("Die "&amp;C75,INDIRECT("A"&amp;D75+1&amp;":J"&amp;D75+1,TRUE),4),TRUE))</f>
        <v/>
      </c>
      <c r="G75" s="18">
        <f t="array" ref="G75">INDIRECT(ADDRESS(D75+2,MATCH("Die "&amp;C75,INDIRECT("A"&amp;D75+1&amp;":J"&amp;D75+1,TRUE),4),TRUE))</f>
        <v/>
      </c>
      <c r="H75">
        <f>IF(AND(ISNUMBER(F75),F75 &gt;=$B$48,F75&lt;$E$48),1,0)</f>
        <v/>
      </c>
      <c r="I75">
        <f>IF(AND(ISNUMBER(G75),G75 &gt;= $B$48,G75&lt;$E$48),1,0)</f>
        <v/>
      </c>
      <c r="J75">
        <f>IF(AND(H75 = 1, I75 = 1),1,0)</f>
        <v/>
      </c>
      <c r="K75" s="43" t="n"/>
      <c r="N75" s="47">
        <f>IF(OR(ISNUMBER(F75),ISNUMBER(G75)),IF(AND(ISNUMBER(F75),ISNUMBER(G75),F75&gt;=$B$48,G75&gt;=$B$48,F75&lt;$E$48,G75&lt;$E$48),"BD",IF(OR(F75&gt;=$B$48/2,G75&gt;=$B$48/2),"UD","")),"")</f>
        <v/>
      </c>
      <c r="O75" s="43" t="n"/>
      <c r="AA75" s="47">
        <f>IF(AND(N75="",COUNTIF($N$52:$N$139,"UD")=0),"",IF(N75="BD","A",IF(N75="UD","B","C")))</f>
        <v/>
      </c>
    </row>
    <row r="76">
      <c r="C76" t="n">
        <v>25</v>
      </c>
      <c r="D76" s="38" t="n">
        <v>15</v>
      </c>
      <c r="F76" s="18">
        <f t="array" ref="F76">INDIRECT(ADDRESS(D76,MATCH("Die "&amp;C76,INDIRECT("A"&amp;D76+1&amp;":J"&amp;D76+1,TRUE),4),TRUE))</f>
        <v/>
      </c>
      <c r="G76" s="18">
        <f t="array" ref="G76">INDIRECT(ADDRESS(D76+2,MATCH("Die "&amp;C76,INDIRECT("A"&amp;D76+1&amp;":J"&amp;D76+1,TRUE),4),TRUE))</f>
        <v/>
      </c>
      <c r="H76">
        <f>IF(AND(ISNUMBER(F76),F76 &gt;=$B$48,F76&lt;$E$48),1,0)</f>
        <v/>
      </c>
      <c r="I76">
        <f>IF(AND(ISNUMBER(G76),G76 &gt;= $B$48,G76&lt;$E$48),1,0)</f>
        <v/>
      </c>
      <c r="J76">
        <f>IF(AND(H76 = 1, I76 = 1),1,0)</f>
        <v/>
      </c>
      <c r="K76" s="43" t="n"/>
      <c r="N76" s="47">
        <f>IF(OR(ISNUMBER(F76),ISNUMBER(G76)),IF(AND(ISNUMBER(F76),ISNUMBER(G76),F76&gt;=$B$48,G76&gt;=$B$48,F76&lt;$E$48,G76&lt;$E$48),"BD",IF(OR(F76&gt;=$B$48/2,G76&gt;=$B$48/2),"UD","")),"")</f>
        <v/>
      </c>
      <c r="O76" s="43" t="n"/>
      <c r="AA76" s="47">
        <f>IF(AND(N76="",COUNTIF($N$52:$N$139,"UD")=0),"",IF(N76="BD","A",IF(N76="UD","B","C")))</f>
        <v/>
      </c>
    </row>
    <row r="77">
      <c r="C77" t="n">
        <v>26</v>
      </c>
      <c r="D77" s="38">
        <f>IF(D76=D75,D76,D75+3)</f>
        <v/>
      </c>
      <c r="F77" s="18">
        <f t="array" ref="F77">INDIRECT(ADDRESS(D77,MATCH("Die "&amp;C77,INDIRECT("A"&amp;D77+1&amp;":J"&amp;D77+1,TRUE),4),TRUE))</f>
        <v/>
      </c>
      <c r="G77" s="18">
        <f t="array" ref="G77">INDIRECT(ADDRESS(D77+2,MATCH("Die "&amp;C77,INDIRECT("A"&amp;D77+1&amp;":J"&amp;D77+1,TRUE),4),TRUE))</f>
        <v/>
      </c>
      <c r="H77">
        <f>IF(AND(ISNUMBER(F77),F77 &gt;=$B$48,F77&lt;$E$48),1,0)</f>
        <v/>
      </c>
      <c r="I77">
        <f>IF(AND(ISNUMBER(G77),G77 &gt;= $B$48,G77&lt;$E$48),1,0)</f>
        <v/>
      </c>
      <c r="J77">
        <f>IF(AND(H77 = 1, I77 = 1),1,0)</f>
        <v/>
      </c>
      <c r="K77" s="43" t="n"/>
      <c r="N77" s="47">
        <f>IF(OR(ISNUMBER(F77),ISNUMBER(G77)),IF(AND(ISNUMBER(F77),ISNUMBER(G77),F77&gt;=$B$48,G77&gt;=$B$48,F77&lt;$E$48,G77&lt;$E$48),"BD",IF(OR(F77&gt;=$B$48/2,G77&gt;=$B$48/2),"UD","")),"")</f>
        <v/>
      </c>
      <c r="O77" s="43" t="n"/>
      <c r="AA77" s="47">
        <f>IF(AND(N77="",COUNTIF($N$52:$N$139,"UD")=0),"",IF(N77="BD","A",IF(N77="UD","B","C")))</f>
        <v/>
      </c>
    </row>
    <row r="78">
      <c r="C78" t="n">
        <v>27</v>
      </c>
      <c r="D78" s="38">
        <f>IF(D77=D76,D77,D76+3)</f>
        <v/>
      </c>
      <c r="F78" s="18">
        <f t="array" ref="F78">INDIRECT(ADDRESS(D78,MATCH("Die "&amp;C78,INDIRECT("A"&amp;D78+1&amp;":J"&amp;D78+1,TRUE),4),TRUE))</f>
        <v/>
      </c>
      <c r="G78" s="18">
        <f t="array" ref="G78">INDIRECT(ADDRESS(D78+2,MATCH("Die "&amp;C78,INDIRECT("A"&amp;D78+1&amp;":J"&amp;D78+1,TRUE),4),TRUE))</f>
        <v/>
      </c>
      <c r="H78">
        <f>IF(AND(ISNUMBER(F78),F78 &gt;=$B$48,F78&lt;$E$48),1,0)</f>
        <v/>
      </c>
      <c r="I78">
        <f>IF(AND(ISNUMBER(G78),G78 &gt;= $B$48,G78&lt;$E$48),1,0)</f>
        <v/>
      </c>
      <c r="J78">
        <f>IF(AND(H78 = 1, I78 = 1),1,0)</f>
        <v/>
      </c>
      <c r="K78" s="43" t="n"/>
      <c r="N78" s="47">
        <f>IF(OR(ISNUMBER(F78),ISNUMBER(G78)),IF(AND(ISNUMBER(F78),ISNUMBER(G78),F78&gt;=$B$48,G78&gt;=$B$48,F78&lt;$E$48,G78&lt;$E$48),"BD",IF(OR(F78&gt;=$B$48/2,G78&gt;=$B$48/2),"UD","")),"")</f>
        <v/>
      </c>
      <c r="O78" s="43" t="n"/>
      <c r="AA78" s="47">
        <f>IF(AND(N78="",COUNTIF($N$52:$N$139,"UD")=0),"",IF(N78="BD","A",IF(N78="UD","B","C")))</f>
        <v/>
      </c>
    </row>
    <row r="79">
      <c r="C79" t="n">
        <v>28</v>
      </c>
      <c r="D79" s="38">
        <f>IF(D78=D77,D78,D77+3)</f>
        <v/>
      </c>
      <c r="F79" s="18">
        <f t="array" ref="F79">INDIRECT(ADDRESS(D79,MATCH("Die "&amp;C79,INDIRECT("A"&amp;D79+1&amp;":J"&amp;D79+1,TRUE),4),TRUE))</f>
        <v/>
      </c>
      <c r="G79" s="18">
        <f t="array" ref="G79">INDIRECT(ADDRESS(D79+2,MATCH("Die "&amp;C79,INDIRECT("A"&amp;D79+1&amp;":J"&amp;D79+1,TRUE),4),TRUE))</f>
        <v/>
      </c>
      <c r="H79">
        <f>IF(AND(ISNUMBER(F79),F79 &gt;=$B$48,F79&lt;$E$48),1,0)</f>
        <v/>
      </c>
      <c r="I79">
        <f>IF(AND(ISNUMBER(G79),G79 &gt;= $B$48,G79&lt;$E$48),1,0)</f>
        <v/>
      </c>
      <c r="J79">
        <f>IF(AND(H79 = 1, I79 = 1),1,0)</f>
        <v/>
      </c>
      <c r="K79" s="43" t="n"/>
      <c r="N79" s="47">
        <f>IF(OR(ISNUMBER(F79),ISNUMBER(G79)),IF(AND(ISNUMBER(F79),ISNUMBER(G79),F79&gt;=$B$48,G79&gt;=$B$48,F79&lt;$E$48,G79&lt;$E$48),"BD",IF(OR(F79&gt;=$B$48/2,G79&gt;=$B$48/2),"UD","")),"")</f>
        <v/>
      </c>
      <c r="O79" s="43" t="n"/>
      <c r="AA79" s="47">
        <f>IF(AND(N79="",COUNTIF($N$52:$N$139,"UD")=0),"",IF(N79="BD","A",IF(N79="UD","B","C")))</f>
        <v/>
      </c>
    </row>
    <row r="80">
      <c r="C80" t="n">
        <v>29</v>
      </c>
      <c r="D80" s="38">
        <f>IF(D79=D78,D79,D78+3)</f>
        <v/>
      </c>
      <c r="F80" s="18">
        <f t="array" ref="F80">INDIRECT(ADDRESS(D80,MATCH("Die "&amp;C80,INDIRECT("A"&amp;D80+1&amp;":J"&amp;D80+1,TRUE),4),TRUE))</f>
        <v/>
      </c>
      <c r="G80" s="18">
        <f t="array" ref="G80">INDIRECT(ADDRESS(D80+2,MATCH("Die "&amp;C80,INDIRECT("A"&amp;D80+1&amp;":J"&amp;D80+1,TRUE),4),TRUE))</f>
        <v/>
      </c>
      <c r="H80">
        <f>IF(AND(ISNUMBER(F80),F80 &gt;=$B$48,F80&lt;$E$48),1,0)</f>
        <v/>
      </c>
      <c r="I80">
        <f>IF(AND(ISNUMBER(G80),G80 &gt;= $B$48,G80&lt;$E$48),1,0)</f>
        <v/>
      </c>
      <c r="J80">
        <f>IF(AND(H80 = 1, I80 = 1),1,0)</f>
        <v/>
      </c>
      <c r="K80" s="43" t="n"/>
      <c r="N80" s="47">
        <f>IF(OR(ISNUMBER(F80),ISNUMBER(G80)),IF(AND(ISNUMBER(F80),ISNUMBER(G80),F80&gt;=$B$48,G80&gt;=$B$48,F80&lt;$E$48,G80&lt;$E$48),"BD",IF(OR(F80&gt;=$B$48/2,G80&gt;=$B$48/2),"UD","")),"")</f>
        <v/>
      </c>
      <c r="O80" s="43" t="n"/>
      <c r="AA80" s="47">
        <f>IF(AND(N80="",COUNTIF($N$52:$N$139,"UD")=0),"",IF(N80="BD","A",IF(N80="UD","B","C")))</f>
        <v/>
      </c>
    </row>
    <row r="81">
      <c r="C81" t="n">
        <v>30</v>
      </c>
      <c r="D81" s="38">
        <f>IF(D80=D79,D80,D79+3)</f>
        <v/>
      </c>
      <c r="F81" s="18">
        <f t="array" ref="F81">INDIRECT(ADDRESS(D81,MATCH("Die "&amp;C81,INDIRECT("A"&amp;D81+1&amp;":J"&amp;D81+1,TRUE),4),TRUE))</f>
        <v/>
      </c>
      <c r="G81" s="18">
        <f t="array" ref="G81">INDIRECT(ADDRESS(D81+2,MATCH("Die "&amp;C81,INDIRECT("A"&amp;D81+1&amp;":J"&amp;D81+1,TRUE),4),TRUE))</f>
        <v/>
      </c>
      <c r="H81">
        <f>IF(AND(ISNUMBER(F81),F81 &gt;=$B$48,F81&lt;$E$48),1,0)</f>
        <v/>
      </c>
      <c r="I81">
        <f>IF(AND(ISNUMBER(G81),G81 &gt;= $B$48,G81&lt;$E$48),1,0)</f>
        <v/>
      </c>
      <c r="J81">
        <f>IF(AND(H81 = 1, I81 = 1),1,0)</f>
        <v/>
      </c>
      <c r="K81" s="43" t="n"/>
      <c r="N81" s="47">
        <f>IF(OR(ISNUMBER(F81),ISNUMBER(G81)),IF(AND(ISNUMBER(F81),ISNUMBER(G81),F81&gt;=$B$48,G81&gt;=$B$48,F81&lt;$E$48,G81&lt;$E$48),"BD",IF(OR(F81&gt;=$B$48/2,G81&gt;=$B$48/2),"UD","")),"")</f>
        <v/>
      </c>
      <c r="O81" s="43" t="n"/>
      <c r="AA81" s="47">
        <f>IF(AND(N81="",COUNTIF($N$52:$N$139,"UD")=0),"",IF(N81="BD","A",IF(N81="UD","B","C")))</f>
        <v/>
      </c>
    </row>
    <row r="82">
      <c r="C82" t="n">
        <v>31</v>
      </c>
      <c r="D82" s="38">
        <f>IF(D81=D80,D81,D80+3)</f>
        <v/>
      </c>
      <c r="F82" s="18">
        <f t="array" ref="F82">INDIRECT(ADDRESS(D82,MATCH("Die "&amp;C82,INDIRECT("A"&amp;D82+1&amp;":J"&amp;D82+1,TRUE),4),TRUE))</f>
        <v/>
      </c>
      <c r="G82" s="18">
        <f t="array" ref="G82">INDIRECT(ADDRESS(D82+2,MATCH("Die "&amp;C82,INDIRECT("A"&amp;D82+1&amp;":J"&amp;D82+1,TRUE),4),TRUE))</f>
        <v/>
      </c>
      <c r="H82">
        <f>IF(AND(ISNUMBER(F82),F82 &gt;=$B$48,F82&lt;$E$48),1,0)</f>
        <v/>
      </c>
      <c r="I82">
        <f>IF(AND(ISNUMBER(G82),G82 &gt;= $B$48,G82&lt;$E$48),1,0)</f>
        <v/>
      </c>
      <c r="J82">
        <f>IF(AND(H82 = 1, I82 = 1),1,0)</f>
        <v/>
      </c>
      <c r="K82" s="43" t="n"/>
      <c r="N82" s="47">
        <f>IF(OR(ISNUMBER(F82),ISNUMBER(G82)),IF(AND(ISNUMBER(F82),ISNUMBER(G82),F82&gt;=$B$48,G82&gt;=$B$48,F82&lt;$E$48,G82&lt;$E$48),"BD",IF(OR(F82&gt;=$B$48/2,G82&gt;=$B$48/2),"UD","")),"")</f>
        <v/>
      </c>
      <c r="O82" s="43" t="n"/>
      <c r="AA82" s="47">
        <f>IF(AND(N82="",COUNTIF($N$52:$N$139,"UD")=0),"",IF(N82="BD","A",IF(N82="UD","B","C")))</f>
        <v/>
      </c>
    </row>
    <row r="83">
      <c r="C83" t="n">
        <v>32</v>
      </c>
      <c r="D83" s="38">
        <f>IF(D82=D81,D82,D81+3)</f>
        <v/>
      </c>
      <c r="F83" s="18">
        <f t="array" ref="F83">INDIRECT(ADDRESS(D83,MATCH("Die "&amp;C83,INDIRECT("A"&amp;D83+1&amp;":J"&amp;D83+1,TRUE),4),TRUE))</f>
        <v/>
      </c>
      <c r="G83" s="18">
        <f t="array" ref="G83">INDIRECT(ADDRESS(D83+2,MATCH("Die "&amp;C83,INDIRECT("A"&amp;D83+1&amp;":J"&amp;D83+1,TRUE),4),TRUE))</f>
        <v/>
      </c>
      <c r="H83">
        <f>IF(AND(ISNUMBER(F83),F83 &gt;=$B$48,F83&lt;$E$48),1,0)</f>
        <v/>
      </c>
      <c r="I83">
        <f>IF(AND(ISNUMBER(G83),G83 &gt;= $B$48,G83&lt;$E$48),1,0)</f>
        <v/>
      </c>
      <c r="J83">
        <f>IF(AND(H83 = 1, I83 = 1),1,0)</f>
        <v/>
      </c>
      <c r="K83" s="43" t="n"/>
      <c r="N83" s="47">
        <f>IF(OR(ISNUMBER(F83),ISNUMBER(G83)),IF(AND(ISNUMBER(F83),ISNUMBER(G83),F83&gt;=$B$48,G83&gt;=$B$48,F83&lt;$E$48,G83&lt;$E$48),"BD",IF(OR(F83&gt;=$B$48/2,G83&gt;=$B$48/2),"UD","")),"")</f>
        <v/>
      </c>
      <c r="O83" s="43" t="n"/>
      <c r="AA83" s="47">
        <f>IF(AND(N83="",COUNTIF($N$52:$N$139,"UD")=0),"",IF(N83="BD","A",IF(N83="UD","B","C")))</f>
        <v/>
      </c>
    </row>
    <row r="84">
      <c r="C84" t="n">
        <v>33</v>
      </c>
      <c r="D84" s="38">
        <f>IF(D83=D82,D83,D82+3)</f>
        <v/>
      </c>
      <c r="F84" s="18">
        <f t="array" ref="F84">INDIRECT(ADDRESS(D84,MATCH("Die "&amp;C84,INDIRECT("A"&amp;D84+1&amp;":J"&amp;D84+1,TRUE),4),TRUE))</f>
        <v/>
      </c>
      <c r="G84" s="18">
        <f t="array" ref="G84">INDIRECT(ADDRESS(D84+2,MATCH("Die "&amp;C84,INDIRECT("A"&amp;D84+1&amp;":J"&amp;D84+1,TRUE),4),TRUE))</f>
        <v/>
      </c>
      <c r="H84">
        <f>IF(AND(ISNUMBER(F84),F84 &gt;=$B$48,F84&lt;$E$48),1,0)</f>
        <v/>
      </c>
      <c r="I84">
        <f>IF(AND(ISNUMBER(G84),G84 &gt;= $B$48,G84&lt;$E$48),1,0)</f>
        <v/>
      </c>
      <c r="J84">
        <f>IF(AND(H84 = 1, I84 = 1),1,0)</f>
        <v/>
      </c>
      <c r="K84" s="43" t="n"/>
      <c r="N84" s="47">
        <f>IF(OR(ISNUMBER(F84),ISNUMBER(G84)),IF(AND(ISNUMBER(F84),ISNUMBER(G84),F84&gt;=$B$48,G84&gt;=$B$48,F84&lt;$E$48,G84&lt;$E$48),"BD",IF(OR(F84&gt;=$B$48/2,G84&gt;=$B$48/2),"UD","")),"")</f>
        <v/>
      </c>
      <c r="O84" s="43" t="n"/>
      <c r="AA84" s="47">
        <f>IF(AND(N84="",COUNTIF($N$52:$N$139,"UD")=0),"",IF(N84="BD","A",IF(N84="UD","B","C")))</f>
        <v/>
      </c>
    </row>
    <row r="85">
      <c r="C85" s="20" t="n">
        <v>34</v>
      </c>
      <c r="D85" s="44">
        <f>IF(D84=D83,D84,D83+3)</f>
        <v/>
      </c>
      <c r="E85" s="20" t="n"/>
      <c r="F85" s="18">
        <f t="array" ref="F85">INDIRECT(ADDRESS(D85,MATCH("Die "&amp;C85,INDIRECT("A"&amp;D85+1&amp;":J"&amp;D85+1,TRUE),4),TRUE))</f>
        <v/>
      </c>
      <c r="G85" s="18">
        <f t="array" ref="G85">INDIRECT(ADDRESS(D85+2,MATCH("Die "&amp;C85,INDIRECT("A"&amp;D85+1&amp;":J"&amp;D85+1,TRUE),4),TRUE))</f>
        <v/>
      </c>
      <c r="H85">
        <f>IF(AND(ISNUMBER(F85),F85 &gt;=$B$48,F85&lt;$E$48),1,0)</f>
        <v/>
      </c>
      <c r="I85">
        <f>IF(AND(ISNUMBER(G85),G85 &gt;= $B$48,G85&lt;$E$48),1,0)</f>
        <v/>
      </c>
      <c r="J85">
        <f>IF(AND(H85 = 1, I85 = 1),1,0)</f>
        <v/>
      </c>
      <c r="K85" s="43" t="n"/>
      <c r="N85" s="47">
        <f>IF(OR(ISNUMBER(F85),ISNUMBER(G85)),IF(AND(ISNUMBER(F85),ISNUMBER(G85),F85&gt;=$B$48,G85&gt;=$B$48,F85&lt;$E$48,G85&lt;$E$48),"BD",IF(OR(F85&gt;=$B$48/2,G85&gt;=$B$48/2),"UD","")),"")</f>
        <v/>
      </c>
      <c r="O85" s="43" t="n"/>
      <c r="AA85" s="47">
        <f>IF(AND(N85="",COUNTIF($N$52:$N$139,"UD")=0),"",IF(N85="BD","A",IF(N85="UD","B","C")))</f>
        <v/>
      </c>
    </row>
    <row r="86">
      <c r="C86" t="n">
        <v>35</v>
      </c>
      <c r="D86" s="38" t="n">
        <v>18</v>
      </c>
      <c r="F86" s="18">
        <f t="array" ref="F86">INDIRECT(ADDRESS(D86,MATCH("Die "&amp;C86,INDIRECT("A"&amp;D86+1&amp;":J"&amp;D86+1,TRUE),4),TRUE))</f>
        <v/>
      </c>
      <c r="G86" s="18">
        <f t="array" ref="G86">INDIRECT(ADDRESS(D86+2,MATCH("Die "&amp;C86,INDIRECT("A"&amp;D86+1&amp;":J"&amp;D86+1,TRUE),4),TRUE))</f>
        <v/>
      </c>
      <c r="H86">
        <f>IF(AND(ISNUMBER(F86),F86 &gt;=$B$48,F86&lt;$E$48),1,0)</f>
        <v/>
      </c>
      <c r="I86">
        <f>IF(AND(ISNUMBER(G86),G86 &gt;= $B$48,G86&lt;$E$48),1,0)</f>
        <v/>
      </c>
      <c r="J86">
        <f>IF(AND(H86 = 1, I86 = 1),1,0)</f>
        <v/>
      </c>
      <c r="K86" s="43" t="n"/>
      <c r="N86" s="47">
        <f>IF(OR(ISNUMBER(F86),ISNUMBER(G86)),IF(AND(ISNUMBER(F86),ISNUMBER(G86),F86&gt;=$B$48,G86&gt;=$B$48,F86&lt;$E$48,G86&lt;$E$48),"BD",IF(OR(F86&gt;=$B$48/2,G86&gt;=$B$48/2),"UD","")),"")</f>
        <v/>
      </c>
      <c r="O86" s="43" t="n"/>
      <c r="AA86" s="47">
        <f>IF(AND(N86="",COUNTIF($N$52:$N$139,"UD")=0),"",IF(N86="BD","A",IF(N86="UD","B","C")))</f>
        <v/>
      </c>
    </row>
    <row r="87">
      <c r="C87" t="n">
        <v>36</v>
      </c>
      <c r="D87" s="38">
        <f>IF(D86=D85,D86,D85+3)</f>
        <v/>
      </c>
      <c r="F87" s="18">
        <f t="array" ref="F87">INDIRECT(ADDRESS(D87,MATCH("Die "&amp;C87,INDIRECT("A"&amp;D87+1&amp;":J"&amp;D87+1,TRUE),4),TRUE))</f>
        <v/>
      </c>
      <c r="G87" s="18">
        <f t="array" ref="G87">INDIRECT(ADDRESS(D87+2,MATCH("Die "&amp;C87,INDIRECT("A"&amp;D87+1&amp;":J"&amp;D87+1,TRUE),4),TRUE))</f>
        <v/>
      </c>
      <c r="H87">
        <f>IF(AND(ISNUMBER(F87),F87 &gt;=$B$48,F87&lt;$E$48),1,0)</f>
        <v/>
      </c>
      <c r="I87">
        <f>IF(AND(ISNUMBER(G87),G87 &gt;= $B$48,G87&lt;$E$48),1,0)</f>
        <v/>
      </c>
      <c r="J87">
        <f>IF(AND(H87 = 1, I87 = 1),1,0)</f>
        <v/>
      </c>
      <c r="K87" s="43" t="n"/>
      <c r="N87" s="47">
        <f>IF(OR(ISNUMBER(F87),ISNUMBER(G87)),IF(AND(ISNUMBER(F87),ISNUMBER(G87),F87&gt;=$B$48,G87&gt;=$B$48,F87&lt;$E$48,G87&lt;$E$48),"BD",IF(OR(F87&gt;=$B$48/2,G87&gt;=$B$48/2),"UD","")),"")</f>
        <v/>
      </c>
      <c r="O87" s="43" t="n"/>
      <c r="AA87" s="47">
        <f>IF(AND(N87="",COUNTIF($N$52:$N$139,"UD")=0),"",IF(N87="BD","A",IF(N87="UD","B","C")))</f>
        <v/>
      </c>
    </row>
    <row r="88">
      <c r="C88" t="n">
        <v>37</v>
      </c>
      <c r="D88" s="38">
        <f>IF(D87=D86,D87,D86+3)</f>
        <v/>
      </c>
      <c r="F88" s="18">
        <f t="array" ref="F88">INDIRECT(ADDRESS(D88,MATCH("Die "&amp;C88,INDIRECT("A"&amp;D88+1&amp;":J"&amp;D88+1,TRUE),4),TRUE))</f>
        <v/>
      </c>
      <c r="G88" s="18">
        <f t="array" ref="G88">INDIRECT(ADDRESS(D88+2,MATCH("Die "&amp;C88,INDIRECT("A"&amp;D88+1&amp;":J"&amp;D88+1,TRUE),4),TRUE))</f>
        <v/>
      </c>
      <c r="H88">
        <f>IF(AND(ISNUMBER(F88),F88 &gt;=$B$48,F88&lt;$E$48),1,0)</f>
        <v/>
      </c>
      <c r="I88">
        <f>IF(AND(ISNUMBER(G88),G88 &gt;= $B$48,G88&lt;$E$48),1,0)</f>
        <v/>
      </c>
      <c r="J88">
        <f>IF(AND(H88 = 1, I88 = 1),1,0)</f>
        <v/>
      </c>
      <c r="K88" s="43" t="n"/>
      <c r="N88" s="47">
        <f>IF(OR(ISNUMBER(F88),ISNUMBER(G88)),IF(AND(ISNUMBER(F88),ISNUMBER(G88),F88&gt;=$B$48,G88&gt;=$B$48,F88&lt;$E$48,G88&lt;$E$48),"BD",IF(OR(F88&gt;=$B$48/2,G88&gt;=$B$48/2),"UD","")),"")</f>
        <v/>
      </c>
      <c r="O88" s="43" t="n"/>
      <c r="AA88" s="47">
        <f>IF(AND(N88="",COUNTIF($N$52:$N$139,"UD")=0),"",IF(N88="BD","A",IF(N88="UD","B","C")))</f>
        <v/>
      </c>
    </row>
    <row r="89">
      <c r="C89" t="n">
        <v>38</v>
      </c>
      <c r="D89" s="38">
        <f>IF(D88=D87,D88,D87+3)</f>
        <v/>
      </c>
      <c r="F89" s="18">
        <f t="array" ref="F89">INDIRECT(ADDRESS(D89,MATCH("Die "&amp;C89,INDIRECT("A"&amp;D89+1&amp;":J"&amp;D89+1,TRUE),4),TRUE))</f>
        <v/>
      </c>
      <c r="G89" s="18">
        <f t="array" ref="G89">INDIRECT(ADDRESS(D89+2,MATCH("Die "&amp;C89,INDIRECT("A"&amp;D89+1&amp;":J"&amp;D89+1,TRUE),4),TRUE))</f>
        <v/>
      </c>
      <c r="H89">
        <f>IF(AND(ISNUMBER(F89),F89 &gt;=$B$48,F89&lt;$E$48),1,0)</f>
        <v/>
      </c>
      <c r="I89">
        <f>IF(AND(ISNUMBER(G89),G89 &gt;= $B$48,G89&lt;$E$48),1,0)</f>
        <v/>
      </c>
      <c r="J89">
        <f>IF(AND(H89 = 1, I89 = 1),1,0)</f>
        <v/>
      </c>
      <c r="K89" s="43" t="n"/>
      <c r="N89" s="47">
        <f>IF(OR(ISNUMBER(F89),ISNUMBER(G89)),IF(AND(ISNUMBER(F89),ISNUMBER(G89),F89&gt;=$B$48,G89&gt;=$B$48,F89&lt;$E$48,G89&lt;$E$48),"BD",IF(OR(F89&gt;=$B$48/2,G89&gt;=$B$48/2),"UD","")),"")</f>
        <v/>
      </c>
      <c r="O89" s="43" t="n"/>
      <c r="AA89" s="47">
        <f>IF(AND(N89="",COUNTIF($N$52:$N$139,"UD")=0),"",IF(N89="BD","A",IF(N89="UD","B","C")))</f>
        <v/>
      </c>
    </row>
    <row r="90">
      <c r="C90" t="n">
        <v>39</v>
      </c>
      <c r="D90" s="38">
        <f>IF(D89=D88,D89,D88+3)</f>
        <v/>
      </c>
      <c r="F90" s="18">
        <f t="array" ref="F90">INDIRECT(ADDRESS(D90,MATCH("Die "&amp;C90,INDIRECT("A"&amp;D90+1&amp;":J"&amp;D90+1,TRUE),4),TRUE))</f>
        <v/>
      </c>
      <c r="G90" s="18">
        <f t="array" ref="G90">INDIRECT(ADDRESS(D90+2,MATCH("Die "&amp;C90,INDIRECT("A"&amp;D90+1&amp;":J"&amp;D90+1,TRUE),4),TRUE))</f>
        <v/>
      </c>
      <c r="H90">
        <f>IF(AND(ISNUMBER(F90),F90 &gt;=$B$48,F90&lt;$E$48),1,0)</f>
        <v/>
      </c>
      <c r="I90">
        <f>IF(AND(ISNUMBER(G90),G90 &gt;= $B$48,G90&lt;$E$48),1,0)</f>
        <v/>
      </c>
      <c r="J90">
        <f>IF(AND(H90 = 1, I90 = 1),1,0)</f>
        <v/>
      </c>
      <c r="K90" s="43" t="n"/>
      <c r="N90" s="47">
        <f>IF(OR(ISNUMBER(F90),ISNUMBER(G90)),IF(AND(ISNUMBER(F90),ISNUMBER(G90),F90&gt;=$B$48,G90&gt;=$B$48,F90&lt;$E$48,G90&lt;$E$48),"BD",IF(OR(F90&gt;=$B$48/2,G90&gt;=$B$48/2),"UD","")),"")</f>
        <v/>
      </c>
      <c r="O90" s="43" t="n"/>
      <c r="AA90" s="47">
        <f>IF(AND(N90="",COUNTIF($N$52:$N$139,"UD")=0),"",IF(N90="BD","A",IF(N90="UD","B","C")))</f>
        <v/>
      </c>
    </row>
    <row r="91">
      <c r="C91" t="n">
        <v>40</v>
      </c>
      <c r="D91" s="38">
        <f>IF(D90=D89,D90,D89+3)</f>
        <v/>
      </c>
      <c r="F91" s="18">
        <f t="array" ref="F91">INDIRECT(ADDRESS(D91,MATCH("Die "&amp;C91,INDIRECT("A"&amp;D91+1&amp;":J"&amp;D91+1,TRUE),4),TRUE))</f>
        <v/>
      </c>
      <c r="G91" s="18">
        <f t="array" ref="G91">INDIRECT(ADDRESS(D91+2,MATCH("Die "&amp;C91,INDIRECT("A"&amp;D91+1&amp;":J"&amp;D91+1,TRUE),4),TRUE))</f>
        <v/>
      </c>
      <c r="H91">
        <f>IF(AND(ISNUMBER(F91),F91 &gt;=$B$48,F91&lt;$E$48),1,0)</f>
        <v/>
      </c>
      <c r="I91">
        <f>IF(AND(ISNUMBER(G91),G91 &gt;= $B$48,G91&lt;$E$48),1,0)</f>
        <v/>
      </c>
      <c r="J91">
        <f>IF(AND(H91 = 1, I91 = 1),1,0)</f>
        <v/>
      </c>
      <c r="K91" s="43" t="n"/>
      <c r="N91" s="47">
        <f>IF(OR(ISNUMBER(F91),ISNUMBER(G91)),IF(AND(ISNUMBER(F91),ISNUMBER(G91),F91&gt;=$B$48,G91&gt;=$B$48,F91&lt;$E$48,G91&lt;$E$48),"BD",IF(OR(F91&gt;=$B$48/2,G91&gt;=$B$48/2),"UD","")),"")</f>
        <v/>
      </c>
      <c r="O91" s="43" t="n"/>
      <c r="AA91" s="47">
        <f>IF(AND(N91="",COUNTIF($N$52:$N$139,"UD")=0),"",IF(N91="BD","A",IF(N91="UD","B","C")))</f>
        <v/>
      </c>
    </row>
    <row r="92">
      <c r="C92" t="n">
        <v>41</v>
      </c>
      <c r="D92" s="38">
        <f>IF(D91=D90,D91,D90+3)</f>
        <v/>
      </c>
      <c r="F92" s="18">
        <f t="array" ref="F92">INDIRECT(ADDRESS(D92,MATCH("Die "&amp;C92,INDIRECT("A"&amp;D92+1&amp;":J"&amp;D92+1,TRUE),4),TRUE))</f>
        <v/>
      </c>
      <c r="G92" s="18">
        <f t="array" ref="G92">INDIRECT(ADDRESS(D92+2,MATCH("Die "&amp;C92,INDIRECT("A"&amp;D92+1&amp;":J"&amp;D92+1,TRUE),4),TRUE))</f>
        <v/>
      </c>
      <c r="H92">
        <f>IF(AND(ISNUMBER(F92),F92 &gt;=$B$48,F92&lt;$E$48),1,0)</f>
        <v/>
      </c>
      <c r="I92">
        <f>IF(AND(ISNUMBER(G92),G92 &gt;= $B$48,G92&lt;$E$48),1,0)</f>
        <v/>
      </c>
      <c r="J92">
        <f>IF(AND(H92 = 1, I92 = 1),1,0)</f>
        <v/>
      </c>
      <c r="K92" s="43" t="n"/>
      <c r="N92" s="47">
        <f>IF(OR(ISNUMBER(F92),ISNUMBER(G92)),IF(AND(ISNUMBER(F92),ISNUMBER(G92),F92&gt;=$B$48,G92&gt;=$B$48,F92&lt;$E$48,G92&lt;$E$48),"BD",IF(OR(F92&gt;=$B$48/2,G92&gt;=$B$48/2),"UD","")),"")</f>
        <v/>
      </c>
      <c r="O92" s="43" t="n"/>
      <c r="AA92" s="47">
        <f>IF(AND(N92="",COUNTIF($N$52:$N$139,"UD")=0),"",IF(N92="BD","A",IF(N92="UD","B","C")))</f>
        <v/>
      </c>
    </row>
    <row r="93">
      <c r="C93" t="n">
        <v>42</v>
      </c>
      <c r="D93" s="38">
        <f>IF(D92=D91,D92,D91+3)</f>
        <v/>
      </c>
      <c r="F93" s="18">
        <f t="array" ref="F93">INDIRECT(ADDRESS(D93,MATCH("Die "&amp;C93,INDIRECT("A"&amp;D93+1&amp;":J"&amp;D93+1,TRUE),4),TRUE))</f>
        <v/>
      </c>
      <c r="G93" s="18">
        <f t="array" ref="G93">INDIRECT(ADDRESS(D93+2,MATCH("Die "&amp;C93,INDIRECT("A"&amp;D93+1&amp;":J"&amp;D93+1,TRUE),4),TRUE))</f>
        <v/>
      </c>
      <c r="H93">
        <f>IF(AND(ISNUMBER(F93),F93 &gt;=$B$48,F93&lt;$E$48),1,0)</f>
        <v/>
      </c>
      <c r="I93">
        <f>IF(AND(ISNUMBER(G93),G93 &gt;= $B$48,G93&lt;$E$48),1,0)</f>
        <v/>
      </c>
      <c r="J93">
        <f>IF(AND(H93 = 1, I93 = 1),1,0)</f>
        <v/>
      </c>
      <c r="K93" s="43" t="n"/>
      <c r="N93" s="47">
        <f>IF(OR(ISNUMBER(F93),ISNUMBER(G93)),IF(AND(ISNUMBER(F93),ISNUMBER(G93),F93&gt;=$B$48,G93&gt;=$B$48,F93&lt;$E$48,G93&lt;$E$48),"BD",IF(OR(F93&gt;=$B$48/2,G93&gt;=$B$48/2),"UD","")),"")</f>
        <v/>
      </c>
      <c r="O93" s="43" t="n"/>
      <c r="AA93" s="47">
        <f>IF(AND(N93="",COUNTIF($N$52:$N$139,"UD")=0),"",IF(N93="BD","A",IF(N93="UD","B","C")))</f>
        <v/>
      </c>
    </row>
    <row r="94">
      <c r="C94" t="n">
        <v>43</v>
      </c>
      <c r="D94" s="38">
        <f>IF(D93=D92,D93,D92+3)</f>
        <v/>
      </c>
      <c r="F94" s="18">
        <f t="array" ref="F94">INDIRECT(ADDRESS(D94,MATCH("Die "&amp;C94,INDIRECT("A"&amp;D94+1&amp;":J"&amp;D94+1,TRUE),4),TRUE))</f>
        <v/>
      </c>
      <c r="G94" s="18">
        <f t="array" ref="G94">INDIRECT(ADDRESS(D94+2,MATCH("Die "&amp;C94,INDIRECT("A"&amp;D94+1&amp;":J"&amp;D94+1,TRUE),4),TRUE))</f>
        <v/>
      </c>
      <c r="H94">
        <f>IF(AND(ISNUMBER(F94),F94 &gt;=$B$48,F94&lt;$E$48),1,0)</f>
        <v/>
      </c>
      <c r="I94">
        <f>IF(AND(ISNUMBER(G94),G94 &gt;= $B$48,G94&lt;$E$48),1,0)</f>
        <v/>
      </c>
      <c r="J94">
        <f>IF(AND(H94 = 1, I94 = 1),1,0)</f>
        <v/>
      </c>
      <c r="K94" s="43" t="n"/>
      <c r="N94" s="47">
        <f>IF(OR(ISNUMBER(F94),ISNUMBER(G94)),IF(AND(ISNUMBER(F94),ISNUMBER(G94),F94&gt;=$B$48,G94&gt;=$B$48,F94&lt;$E$48,G94&lt;$E$48),"BD",IF(OR(F94&gt;=$B$48/2,G94&gt;=$B$48/2),"UD","")),"")</f>
        <v/>
      </c>
      <c r="O94" s="43" t="n"/>
      <c r="AA94" s="47">
        <f>IF(AND(N94="",COUNTIF($N$52:$N$139,"UD")=0),"",IF(N94="BD","A",IF(N94="UD","B","C")))</f>
        <v/>
      </c>
    </row>
    <row r="95">
      <c r="C95" s="20" t="n">
        <v>44</v>
      </c>
      <c r="D95" s="44">
        <f>IF(D94=D93,D94,D93+3)</f>
        <v/>
      </c>
      <c r="E95" s="20" t="n"/>
      <c r="F95" s="18">
        <f t="array" ref="F95">INDIRECT(ADDRESS(D95,MATCH("Die "&amp;C95,INDIRECT("A"&amp;D95+1&amp;":J"&amp;D95+1,TRUE),4),TRUE))</f>
        <v/>
      </c>
      <c r="G95" s="18">
        <f t="array" ref="G95">INDIRECT(ADDRESS(D95+2,MATCH("Die "&amp;C95,INDIRECT("A"&amp;D95+1&amp;":J"&amp;D95+1,TRUE),4),TRUE))</f>
        <v/>
      </c>
      <c r="H95">
        <f>IF(AND(ISNUMBER(F95),F95 &gt;=$B$48,F95&lt;$E$48),1,0)</f>
        <v/>
      </c>
      <c r="I95">
        <f>IF(AND(ISNUMBER(G95),G95 &gt;= $B$48,G95&lt;$E$48),1,0)</f>
        <v/>
      </c>
      <c r="J95">
        <f>IF(AND(H95 = 1, I95 = 1),1,0)</f>
        <v/>
      </c>
      <c r="K95" s="43" t="n"/>
      <c r="N95" s="47">
        <f>IF(OR(ISNUMBER(F95),ISNUMBER(G95)),IF(AND(ISNUMBER(F95),ISNUMBER(G95),F95&gt;=$B$48,G95&gt;=$B$48,F95&lt;$E$48,G95&lt;$E$48),"BD",IF(OR(F95&gt;=$B$48/2,G95&gt;=$B$48/2),"UD","")),"")</f>
        <v/>
      </c>
      <c r="O95" s="43" t="n"/>
      <c r="AA95" s="47">
        <f>IF(AND(N95="",COUNTIF($N$52:$N$139,"UD")=0),"",IF(N95="BD","A",IF(N95="UD","B","C")))</f>
        <v/>
      </c>
    </row>
    <row r="96">
      <c r="C96" t="n">
        <v>45</v>
      </c>
      <c r="D96" s="38" t="n">
        <v>21</v>
      </c>
      <c r="F96" s="18">
        <f t="array" ref="F96">INDIRECT(ADDRESS(D96,MATCH("Die "&amp;C96,INDIRECT("A"&amp;D96+1&amp;":J"&amp;D96+1,TRUE),4),TRUE))</f>
        <v/>
      </c>
      <c r="G96" s="18">
        <f t="array" ref="G96">INDIRECT(ADDRESS(D96+2,MATCH("Die "&amp;C96,INDIRECT("A"&amp;D96+1&amp;":J"&amp;D96+1,TRUE),4),TRUE))</f>
        <v/>
      </c>
      <c r="H96">
        <f>IF(AND(ISNUMBER(F96),F96 &gt;=$B$48,F96&lt;$E$48),1,0)</f>
        <v/>
      </c>
      <c r="I96">
        <f>IF(AND(ISNUMBER(G96),G96 &gt;= $B$48,G96&lt;$E$48),1,0)</f>
        <v/>
      </c>
      <c r="J96">
        <f>IF(AND(H96 = 1, I96 = 1),1,0)</f>
        <v/>
      </c>
      <c r="K96" s="43" t="n"/>
      <c r="N96" s="47">
        <f>IF(OR(ISNUMBER(F96),ISNUMBER(G96)),IF(AND(ISNUMBER(F96),ISNUMBER(G96),F96&gt;=$B$48,G96&gt;=$B$48,F96&lt;$E$48,G96&lt;$E$48),"BD",IF(OR(F96&gt;=$B$48/2,G96&gt;=$B$48/2),"UD","")),"")</f>
        <v/>
      </c>
      <c r="O96" s="43" t="n"/>
      <c r="AA96" s="47">
        <f>IF(AND(N96="",COUNTIF($N$52:$N$139,"UD")=0),"",IF(N96="BD","A",IF(N96="UD","B","C")))</f>
        <v/>
      </c>
    </row>
    <row r="97">
      <c r="C97" t="n">
        <v>46</v>
      </c>
      <c r="D97" s="38">
        <f>IF(D96=D95,D96,D95+3)</f>
        <v/>
      </c>
      <c r="F97" s="18">
        <f t="array" ref="F97">INDIRECT(ADDRESS(D97,MATCH("Die "&amp;C97,INDIRECT("A"&amp;D97+1&amp;":J"&amp;D97+1,TRUE),4),TRUE))</f>
        <v/>
      </c>
      <c r="G97" s="18">
        <f t="array" ref="G97">INDIRECT(ADDRESS(D97+2,MATCH("Die "&amp;C97,INDIRECT("A"&amp;D97+1&amp;":J"&amp;D97+1,TRUE),4),TRUE))</f>
        <v/>
      </c>
      <c r="H97">
        <f>IF(AND(ISNUMBER(F97),F97 &gt;=$B$48,F97&lt;$E$48),1,0)</f>
        <v/>
      </c>
      <c r="I97">
        <f>IF(AND(ISNUMBER(G97),G97 &gt;= $B$48,G97&lt;$E$48),1,0)</f>
        <v/>
      </c>
      <c r="J97">
        <f>IF(AND(H97 = 1, I97 = 1),1,0)</f>
        <v/>
      </c>
      <c r="K97" s="43" t="n"/>
      <c r="N97" s="47">
        <f>IF(OR(ISNUMBER(F97),ISNUMBER(G97)),IF(AND(ISNUMBER(F97),ISNUMBER(G97),F97&gt;=$B$48,G97&gt;=$B$48,F97&lt;$E$48,G97&lt;$E$48),"BD",IF(OR(F97&gt;=$B$48/2,G97&gt;=$B$48/2),"UD","")),"")</f>
        <v/>
      </c>
      <c r="O97" s="43" t="n"/>
      <c r="AA97" s="47">
        <f>IF(AND(N97="",COUNTIF($N$52:$N$139,"UD")=0),"",IF(N97="BD","A",IF(N97="UD","B","C")))</f>
        <v/>
      </c>
    </row>
    <row r="98">
      <c r="C98" t="n">
        <v>47</v>
      </c>
      <c r="D98" s="38">
        <f>IF(D97=D96,D97,D96+3)</f>
        <v/>
      </c>
      <c r="F98" s="18">
        <f t="array" ref="F98">INDIRECT(ADDRESS(D98,MATCH("Die "&amp;C98,INDIRECT("A"&amp;D98+1&amp;":J"&amp;D98+1,TRUE),4),TRUE))</f>
        <v/>
      </c>
      <c r="G98" s="18">
        <f t="array" ref="G98">INDIRECT(ADDRESS(D98+2,MATCH("Die "&amp;C98,INDIRECT("A"&amp;D98+1&amp;":J"&amp;D98+1,TRUE),4),TRUE))</f>
        <v/>
      </c>
      <c r="H98">
        <f>IF(AND(ISNUMBER(F98),F98 &gt;=$B$48,F98&lt;$E$48),1,0)</f>
        <v/>
      </c>
      <c r="I98">
        <f>IF(AND(ISNUMBER(G98),G98 &gt;= $B$48,G98&lt;$E$48),1,0)</f>
        <v/>
      </c>
      <c r="J98">
        <f>IF(AND(H98 = 1, I98 = 1),1,0)</f>
        <v/>
      </c>
      <c r="K98" s="43" t="n"/>
      <c r="N98" s="47">
        <f>IF(OR(ISNUMBER(F98),ISNUMBER(G98)),IF(AND(ISNUMBER(F98),ISNUMBER(G98),F98&gt;=$B$48,G98&gt;=$B$48,F98&lt;$E$48,G98&lt;$E$48),"BD",IF(OR(F98&gt;=$B$48/2,G98&gt;=$B$48/2),"UD","")),"")</f>
        <v/>
      </c>
      <c r="O98" s="43" t="n"/>
      <c r="AA98" s="47">
        <f>IF(AND(N98="",COUNTIF($N$52:$N$139,"UD")=0),"",IF(N98="BD","A",IF(N98="UD","B","C")))</f>
        <v/>
      </c>
    </row>
    <row r="99">
      <c r="C99" t="n">
        <v>48</v>
      </c>
      <c r="D99" s="38">
        <f>IF(D98=D97,D98,D97+3)</f>
        <v/>
      </c>
      <c r="F99" s="18">
        <f t="array" ref="F99">INDIRECT(ADDRESS(D99,MATCH("Die "&amp;C99,INDIRECT("A"&amp;D99+1&amp;":J"&amp;D99+1,TRUE),4),TRUE))</f>
        <v/>
      </c>
      <c r="G99" s="18">
        <f t="array" ref="G99">INDIRECT(ADDRESS(D99+2,MATCH("Die "&amp;C99,INDIRECT("A"&amp;D99+1&amp;":J"&amp;D99+1,TRUE),4),TRUE))</f>
        <v/>
      </c>
      <c r="H99">
        <f>IF(AND(ISNUMBER(F99),F99 &gt;=$B$48,F99&lt;$E$48),1,0)</f>
        <v/>
      </c>
      <c r="I99">
        <f>IF(AND(ISNUMBER(G99),G99 &gt;= $B$48,G99&lt;$E$48),1,0)</f>
        <v/>
      </c>
      <c r="J99">
        <f>IF(AND(H99 = 1, I99 = 1),1,0)</f>
        <v/>
      </c>
      <c r="K99" s="43" t="n"/>
      <c r="N99" s="47">
        <f>IF(OR(ISNUMBER(F99),ISNUMBER(G99)),IF(AND(ISNUMBER(F99),ISNUMBER(G99),F99&gt;=$B$48,G99&gt;=$B$48,F99&lt;$E$48,G99&lt;$E$48),"BD",IF(OR(F99&gt;=$B$48/2,G99&gt;=$B$48/2),"UD","")),"")</f>
        <v/>
      </c>
      <c r="O99" s="43" t="n"/>
      <c r="AA99" s="47">
        <f>IF(AND(N99="",COUNTIF($N$52:$N$139,"UD")=0),"",IF(N99="BD","A",IF(N99="UD","B","C")))</f>
        <v/>
      </c>
    </row>
    <row r="100">
      <c r="C100" t="n">
        <v>49</v>
      </c>
      <c r="D100" s="38">
        <f>IF(D99=D98,D99,D98+3)</f>
        <v/>
      </c>
      <c r="F100" s="18">
        <f t="array" ref="F100">INDIRECT(ADDRESS(D100,MATCH("Die "&amp;C100,INDIRECT("A"&amp;D100+1&amp;":J"&amp;D100+1,TRUE),4),TRUE))</f>
        <v/>
      </c>
      <c r="G100" s="18">
        <f t="array" ref="G100">INDIRECT(ADDRESS(D100+2,MATCH("Die "&amp;C100,INDIRECT("A"&amp;D100+1&amp;":J"&amp;D100+1,TRUE),4),TRUE))</f>
        <v/>
      </c>
      <c r="H100">
        <f>IF(AND(ISNUMBER(F100),F100 &gt;=$B$48,F100&lt;$E$48),1,0)</f>
        <v/>
      </c>
      <c r="I100">
        <f>IF(AND(ISNUMBER(G100),G100 &gt;= $B$48,G100&lt;$E$48),1,0)</f>
        <v/>
      </c>
      <c r="J100">
        <f>IF(AND(H100 = 1, I100 = 1),1,0)</f>
        <v/>
      </c>
      <c r="K100" s="43" t="n"/>
      <c r="N100" s="47">
        <f>IF(OR(ISNUMBER(F100),ISNUMBER(G100)),IF(AND(ISNUMBER(F100),ISNUMBER(G100),F100&gt;=$B$48,G100&gt;=$B$48,F100&lt;$E$48,G100&lt;$E$48),"BD",IF(OR(F100&gt;=$B$48/2,G100&gt;=$B$48/2),"UD","")),"")</f>
        <v/>
      </c>
      <c r="O100" s="43" t="n"/>
      <c r="AA100" s="47">
        <f>IF(AND(N100="",COUNTIF($N$52:$N$139,"UD")=0),"",IF(N100="BD","A",IF(N100="UD","B","C")))</f>
        <v/>
      </c>
    </row>
    <row r="101">
      <c r="C101" t="n">
        <v>50</v>
      </c>
      <c r="D101" s="38">
        <f>IF(D100=D99,D100,D99+3)</f>
        <v/>
      </c>
      <c r="F101" s="18">
        <f t="array" ref="F101">INDIRECT(ADDRESS(D101,MATCH("Die "&amp;C101,INDIRECT("A"&amp;D101+1&amp;":J"&amp;D101+1,TRUE),4),TRUE))</f>
        <v/>
      </c>
      <c r="G101" s="18">
        <f t="array" ref="G101">INDIRECT(ADDRESS(D101+2,MATCH("Die "&amp;C101,INDIRECT("A"&amp;D101+1&amp;":J"&amp;D101+1,TRUE),4),TRUE))</f>
        <v/>
      </c>
      <c r="H101">
        <f>IF(AND(ISNUMBER(F101),F101 &gt;=$B$48,F101&lt;$E$48),1,0)</f>
        <v/>
      </c>
      <c r="I101">
        <f>IF(AND(ISNUMBER(G101),G101 &gt;= $B$48,G101&lt;$E$48),1,0)</f>
        <v/>
      </c>
      <c r="J101">
        <f>IF(AND(H101 = 1, I101 = 1),1,0)</f>
        <v/>
      </c>
      <c r="K101" s="43" t="n"/>
      <c r="N101" s="47">
        <f>IF(OR(ISNUMBER(F101),ISNUMBER(G101)),IF(AND(ISNUMBER(F101),ISNUMBER(G101),F101&gt;=$B$48,G101&gt;=$B$48,F101&lt;$E$48,G101&lt;$E$48),"BD",IF(OR(F101&gt;=$B$48/2,G101&gt;=$B$48/2),"UD","")),"")</f>
        <v/>
      </c>
      <c r="O101" s="43" t="n"/>
      <c r="AA101" s="47">
        <f>IF(AND(N101="",COUNTIF($N$52:$N$139,"UD")=0),"",IF(N101="BD","A",IF(N101="UD","B","C")))</f>
        <v/>
      </c>
    </row>
    <row r="102">
      <c r="C102" t="n">
        <v>51</v>
      </c>
      <c r="D102" s="38">
        <f>IF(D101=D100,D101,D100+3)</f>
        <v/>
      </c>
      <c r="F102" s="18">
        <f t="array" ref="F102">INDIRECT(ADDRESS(D102,MATCH("Die "&amp;C102,INDIRECT("A"&amp;D102+1&amp;":J"&amp;D102+1,TRUE),4),TRUE))</f>
        <v/>
      </c>
      <c r="G102" s="18">
        <f t="array" ref="G102">INDIRECT(ADDRESS(D102+2,MATCH("Die "&amp;C102,INDIRECT("A"&amp;D102+1&amp;":J"&amp;D102+1,TRUE),4),TRUE))</f>
        <v/>
      </c>
      <c r="H102">
        <f>IF(AND(ISNUMBER(F102),F102 &gt;=$B$48,F102&lt;$E$48),1,0)</f>
        <v/>
      </c>
      <c r="I102">
        <f>IF(AND(ISNUMBER(G102),G102 &gt;= $B$48,G102&lt;$E$48),1,0)</f>
        <v/>
      </c>
      <c r="J102">
        <f>IF(AND(H102 = 1, I102 = 1),1,0)</f>
        <v/>
      </c>
      <c r="K102" s="43" t="n"/>
      <c r="N102" s="47">
        <f>IF(OR(ISNUMBER(F102),ISNUMBER(G102)),IF(AND(ISNUMBER(F102),ISNUMBER(G102),F102&gt;=$B$48,G102&gt;=$B$48,F102&lt;$E$48,G102&lt;$E$48),"BD",IF(OR(F102&gt;=$B$48/2,G102&gt;=$B$48/2),"UD","")),"")</f>
        <v/>
      </c>
      <c r="O102" s="43" t="n"/>
      <c r="AA102" s="47">
        <f>IF(AND(N102="",COUNTIF($N$52:$N$139,"UD")=0),"",IF(N102="BD","A",IF(N102="UD","B","C")))</f>
        <v/>
      </c>
    </row>
    <row r="103">
      <c r="C103" t="n">
        <v>52</v>
      </c>
      <c r="D103" s="38">
        <f>IF(D102=D101,D102,D101+3)</f>
        <v/>
      </c>
      <c r="F103" s="18">
        <f t="array" ref="F103">INDIRECT(ADDRESS(D103,MATCH("Die "&amp;C103,INDIRECT("A"&amp;D103+1&amp;":J"&amp;D103+1,TRUE),4),TRUE))</f>
        <v/>
      </c>
      <c r="G103" s="18">
        <f t="array" ref="G103">INDIRECT(ADDRESS(D103+2,MATCH("Die "&amp;C103,INDIRECT("A"&amp;D103+1&amp;":J"&amp;D103+1,TRUE),4),TRUE))</f>
        <v/>
      </c>
      <c r="H103">
        <f>IF(AND(ISNUMBER(F103),F103 &gt;=$B$48,F103&lt;$E$48),1,0)</f>
        <v/>
      </c>
      <c r="I103">
        <f>IF(AND(ISNUMBER(G103),G103 &gt;= $B$48,G103&lt;$E$48),1,0)</f>
        <v/>
      </c>
      <c r="J103">
        <f>IF(AND(H103 = 1, I103 = 1),1,0)</f>
        <v/>
      </c>
      <c r="K103" s="43" t="n"/>
      <c r="N103" s="47">
        <f>IF(OR(ISNUMBER(F103),ISNUMBER(G103)),IF(AND(ISNUMBER(F103),ISNUMBER(G103),F103&gt;=$B$48,G103&gt;=$B$48,F103&lt;$E$48,G103&lt;$E$48),"BD",IF(OR(F103&gt;=$B$48/2,G103&gt;=$B$48/2),"UD","")),"")</f>
        <v/>
      </c>
      <c r="O103" s="43" t="n"/>
      <c r="AA103" s="47">
        <f>IF(AND(N103="",COUNTIF($N$52:$N$139,"UD")=0),"",IF(N103="BD","A",IF(N103="UD","B","C")))</f>
        <v/>
      </c>
    </row>
    <row r="104">
      <c r="C104" t="n">
        <v>53</v>
      </c>
      <c r="D104" s="38">
        <f>IF(D103=D102,D103,D102+3)</f>
        <v/>
      </c>
      <c r="F104" s="18">
        <f t="array" ref="F104">INDIRECT(ADDRESS(D104,MATCH("Die "&amp;C104,INDIRECT("A"&amp;D104+1&amp;":J"&amp;D104+1,TRUE),4),TRUE))</f>
        <v/>
      </c>
      <c r="G104" s="18">
        <f t="array" ref="G104">INDIRECT(ADDRESS(D104+2,MATCH("Die "&amp;C104,INDIRECT("A"&amp;D104+1&amp;":J"&amp;D104+1,TRUE),4),TRUE))</f>
        <v/>
      </c>
      <c r="H104">
        <f>IF(AND(ISNUMBER(F104),F104 &gt;=$B$48,F104&lt;$E$48),1,0)</f>
        <v/>
      </c>
      <c r="I104">
        <f>IF(AND(ISNUMBER(G104),G104 &gt;= $B$48,G104&lt;$E$48),1,0)</f>
        <v/>
      </c>
      <c r="J104">
        <f>IF(AND(H104 = 1, I104 = 1),1,0)</f>
        <v/>
      </c>
      <c r="K104" s="43" t="n"/>
      <c r="N104" s="47">
        <f>IF(OR(ISNUMBER(F104),ISNUMBER(G104)),IF(AND(ISNUMBER(F104),ISNUMBER(G104),F104&gt;=$B$48,G104&gt;=$B$48,F104&lt;$E$48,G104&lt;$E$48),"BD",IF(OR(F104&gt;=$B$48/2,G104&gt;=$B$48/2),"UD","")),"")</f>
        <v/>
      </c>
      <c r="O104" s="43" t="n"/>
      <c r="AA104" s="47">
        <f>IF(AND(N104="",COUNTIF($N$52:$N$139,"UD")=0),"",IF(N104="BD","A",IF(N104="UD","B","C")))</f>
        <v/>
      </c>
    </row>
    <row r="105">
      <c r="C105" s="20" t="n">
        <v>54</v>
      </c>
      <c r="D105" s="44">
        <f>IF(D104=D103,D104,D103+3)</f>
        <v/>
      </c>
      <c r="E105" s="20" t="n"/>
      <c r="F105" s="18">
        <f t="array" ref="F105">INDIRECT(ADDRESS(D105,MATCH("Die "&amp;C105,INDIRECT("A"&amp;D105+1&amp;":J"&amp;D105+1,TRUE),4),TRUE))</f>
        <v/>
      </c>
      <c r="G105" s="18">
        <f t="array" ref="G105">INDIRECT(ADDRESS(D105+2,MATCH("Die "&amp;C105,INDIRECT("A"&amp;D105+1&amp;":J"&amp;D105+1,TRUE),4),TRUE))</f>
        <v/>
      </c>
      <c r="H105">
        <f>IF(AND(ISNUMBER(F105),F105 &gt;=$B$48,F105&lt;$E$48),1,0)</f>
        <v/>
      </c>
      <c r="I105">
        <f>IF(AND(ISNUMBER(G105),G105 &gt;= $B$48,G105&lt;$E$48),1,0)</f>
        <v/>
      </c>
      <c r="J105">
        <f>IF(AND(H105 = 1, I105 = 1),1,0)</f>
        <v/>
      </c>
      <c r="K105" s="43" t="n"/>
      <c r="N105" s="47">
        <f>IF(OR(ISNUMBER(F105),ISNUMBER(G105)),IF(AND(ISNUMBER(F105),ISNUMBER(G105),F105&gt;=$B$48,G105&gt;=$B$48,F105&lt;$E$48,G105&lt;$E$48),"BD",IF(OR(F105&gt;=$B$48/2,G105&gt;=$B$48/2),"UD","")),"")</f>
        <v/>
      </c>
      <c r="O105" s="43" t="n"/>
      <c r="AA105" s="47">
        <f>IF(AND(N105="",COUNTIF($N$52:$N$139,"UD")=0),"",IF(N105="BD","A",IF(N105="UD","B","C")))</f>
        <v/>
      </c>
    </row>
    <row r="106">
      <c r="C106" t="n">
        <v>55</v>
      </c>
      <c r="D106" s="38" t="n">
        <v>24</v>
      </c>
      <c r="F106" s="18">
        <f t="array" ref="F106">INDIRECT(ADDRESS(D106,MATCH("Die "&amp;C106,INDIRECT("A"&amp;D106+1&amp;":J"&amp;D106+1,TRUE),4),TRUE))</f>
        <v/>
      </c>
      <c r="G106" s="18">
        <f t="array" ref="G106">INDIRECT(ADDRESS(D106+2,MATCH("Die "&amp;C106,INDIRECT("A"&amp;D106+1&amp;":J"&amp;D106+1,TRUE),4),TRUE))</f>
        <v/>
      </c>
      <c r="H106">
        <f>IF(AND(ISNUMBER(F106),F106 &gt;=$B$48,F106&lt;$E$48),1,0)</f>
        <v/>
      </c>
      <c r="I106">
        <f>IF(AND(ISNUMBER(G106),G106 &gt;= $B$48,G106&lt;$E$48),1,0)</f>
        <v/>
      </c>
      <c r="J106">
        <f>IF(AND(H106 = 1, I106 = 1),1,0)</f>
        <v/>
      </c>
      <c r="K106" s="43" t="n"/>
      <c r="N106" s="47">
        <f>IF(OR(ISNUMBER(F106),ISNUMBER(G106)),IF(AND(ISNUMBER(F106),ISNUMBER(G106),F106&gt;=$B$48,G106&gt;=$B$48,F106&lt;$E$48,G106&lt;$E$48),"BD",IF(OR(F106&gt;=$B$48/2,G106&gt;=$B$48/2),"UD","")),"")</f>
        <v/>
      </c>
      <c r="O106" s="43" t="n"/>
      <c r="AA106" s="47">
        <f>IF(AND(N106="",COUNTIF($N$52:$N$139,"UD")=0),"",IF(N106="BD","A",IF(N106="UD","B","C")))</f>
        <v/>
      </c>
    </row>
    <row r="107">
      <c r="C107" t="n">
        <v>56</v>
      </c>
      <c r="D107" s="38">
        <f>IF(D106=D105,D106,D105+3)</f>
        <v/>
      </c>
      <c r="F107" s="18">
        <f t="array" ref="F107">INDIRECT(ADDRESS(D107,MATCH("Die "&amp;C107,INDIRECT("A"&amp;D107+1&amp;":J"&amp;D107+1,TRUE),4),TRUE))</f>
        <v/>
      </c>
      <c r="G107" s="18">
        <f t="array" ref="G107">INDIRECT(ADDRESS(D107+2,MATCH("Die "&amp;C107,INDIRECT("A"&amp;D107+1&amp;":J"&amp;D107+1,TRUE),4),TRUE))</f>
        <v/>
      </c>
      <c r="H107">
        <f>IF(AND(ISNUMBER(F107),F107 &gt;=$B$48,F107&lt;$E$48),1,0)</f>
        <v/>
      </c>
      <c r="I107">
        <f>IF(AND(ISNUMBER(G107),G107 &gt;= $B$48,G107&lt;$E$48),1,0)</f>
        <v/>
      </c>
      <c r="J107">
        <f>IF(AND(H107 = 1, I107 = 1),1,0)</f>
        <v/>
      </c>
      <c r="K107" s="43" t="n"/>
      <c r="N107" s="47">
        <f>IF(OR(ISNUMBER(F107),ISNUMBER(G107)),IF(AND(ISNUMBER(F107),ISNUMBER(G107),F107&gt;=$B$48,G107&gt;=$B$48,F107&lt;$E$48,G107&lt;$E$48),"BD",IF(OR(F107&gt;=$B$48/2,G107&gt;=$B$48/2),"UD","")),"")</f>
        <v/>
      </c>
      <c r="O107" s="43" t="n"/>
      <c r="AA107" s="47">
        <f>IF(AND(N107="",COUNTIF($N$52:$N$139,"UD")=0),"",IF(N107="BD","A",IF(N107="UD","B","C")))</f>
        <v/>
      </c>
    </row>
    <row r="108">
      <c r="C108" t="n">
        <v>57</v>
      </c>
      <c r="D108" s="38">
        <f>IF(D107=D106,D107,D106+3)</f>
        <v/>
      </c>
      <c r="F108" s="18">
        <f t="array" ref="F108">INDIRECT(ADDRESS(D108,MATCH("Die "&amp;C108,INDIRECT("A"&amp;D108+1&amp;":J"&amp;D108+1,TRUE),4),TRUE))</f>
        <v/>
      </c>
      <c r="G108" s="18">
        <f t="array" ref="G108">INDIRECT(ADDRESS(D108+2,MATCH("Die "&amp;C108,INDIRECT("A"&amp;D108+1&amp;":J"&amp;D108+1,TRUE),4),TRUE))</f>
        <v/>
      </c>
      <c r="H108">
        <f>IF(AND(ISNUMBER(F108),F108 &gt;=$B$48,F108&lt;$E$48),1,0)</f>
        <v/>
      </c>
      <c r="I108">
        <f>IF(AND(ISNUMBER(G108),G108 &gt;= $B$48,G108&lt;$E$48),1,0)</f>
        <v/>
      </c>
      <c r="J108">
        <f>IF(AND(H108 = 1, I108 = 1),1,0)</f>
        <v/>
      </c>
      <c r="K108" s="43" t="n"/>
      <c r="N108" s="47">
        <f>IF(OR(ISNUMBER(F108),ISNUMBER(G108)),IF(AND(ISNUMBER(F108),ISNUMBER(G108),F108&gt;=$B$48,G108&gt;=$B$48,F108&lt;$E$48,G108&lt;$E$48),"BD",IF(OR(F108&gt;=$B$48/2,G108&gt;=$B$48/2),"UD","")),"")</f>
        <v/>
      </c>
      <c r="O108" s="43" t="n"/>
      <c r="AA108" s="47">
        <f>IF(AND(N108="",COUNTIF($N$52:$N$139,"UD")=0),"",IF(N108="BD","A",IF(N108="UD","B","C")))</f>
        <v/>
      </c>
    </row>
    <row r="109">
      <c r="C109" t="n">
        <v>58</v>
      </c>
      <c r="D109" s="38">
        <f>IF(D108=D107,D108,D107+3)</f>
        <v/>
      </c>
      <c r="F109" s="18">
        <f t="array" ref="F109">INDIRECT(ADDRESS(D109,MATCH("Die "&amp;C109,INDIRECT("A"&amp;D109+1&amp;":J"&amp;D109+1,TRUE),4),TRUE))</f>
        <v/>
      </c>
      <c r="G109" s="18">
        <f t="array" ref="G109">INDIRECT(ADDRESS(D109+2,MATCH("Die "&amp;C109,INDIRECT("A"&amp;D109+1&amp;":J"&amp;D109+1,TRUE),4),TRUE))</f>
        <v/>
      </c>
      <c r="H109">
        <f>IF(AND(ISNUMBER(F109),F109 &gt;=$B$48,F109&lt;$E$48),1,0)</f>
        <v/>
      </c>
      <c r="I109">
        <f>IF(AND(ISNUMBER(G109),G109 &gt;= $B$48,G109&lt;$E$48),1,0)</f>
        <v/>
      </c>
      <c r="J109">
        <f>IF(AND(H109 = 1, I109 = 1),1,0)</f>
        <v/>
      </c>
      <c r="K109" s="43" t="n"/>
      <c r="N109" s="47">
        <f>IF(OR(ISNUMBER(F109),ISNUMBER(G109)),IF(AND(ISNUMBER(F109),ISNUMBER(G109),F109&gt;=$B$48,G109&gt;=$B$48,F109&lt;$E$48,G109&lt;$E$48),"BD",IF(OR(F109&gt;=$B$48/2,G109&gt;=$B$48/2),"UD","")),"")</f>
        <v/>
      </c>
      <c r="O109" s="43" t="n"/>
      <c r="AA109" s="47">
        <f>IF(AND(N109="",COUNTIF($N$52:$N$139,"UD")=0),"",IF(N109="BD","A",IF(N109="UD","B","C")))</f>
        <v/>
      </c>
    </row>
    <row r="110">
      <c r="C110" t="n">
        <v>59</v>
      </c>
      <c r="D110" s="38">
        <f>IF(D109=D108,D109,D108+3)</f>
        <v/>
      </c>
      <c r="F110" s="18">
        <f t="array" ref="F110">INDIRECT(ADDRESS(D110,MATCH("Die "&amp;C110,INDIRECT("A"&amp;D110+1&amp;":J"&amp;D110+1,TRUE),4),TRUE))</f>
        <v/>
      </c>
      <c r="G110" s="18">
        <f t="array" ref="G110">INDIRECT(ADDRESS(D110+2,MATCH("Die "&amp;C110,INDIRECT("A"&amp;D110+1&amp;":J"&amp;D110+1,TRUE),4),TRUE))</f>
        <v/>
      </c>
      <c r="H110">
        <f>IF(AND(ISNUMBER(F110),F110 &gt;=$B$48,F110&lt;$E$48),1,0)</f>
        <v/>
      </c>
      <c r="I110">
        <f>IF(AND(ISNUMBER(G110),G110 &gt;= $B$48,G110&lt;$E$48),1,0)</f>
        <v/>
      </c>
      <c r="J110">
        <f>IF(AND(H110 = 1, I110 = 1),1,0)</f>
        <v/>
      </c>
      <c r="K110" s="43" t="n"/>
      <c r="N110" s="47">
        <f>IF(OR(ISNUMBER(F110),ISNUMBER(G110)),IF(AND(ISNUMBER(F110),ISNUMBER(G110),F110&gt;=$B$48,G110&gt;=$B$48,F110&lt;$E$48,G110&lt;$E$48),"BD",IF(OR(F110&gt;=$B$48/2,G110&gt;=$B$48/2),"UD","")),"")</f>
        <v/>
      </c>
      <c r="O110" s="43" t="n"/>
      <c r="AA110" s="47">
        <f>IF(AND(N110="",COUNTIF($N$52:$N$139,"UD")=0),"",IF(N110="BD","A",IF(N110="UD","B","C")))</f>
        <v/>
      </c>
    </row>
    <row r="111">
      <c r="C111" t="n">
        <v>60</v>
      </c>
      <c r="D111" s="38">
        <f>IF(D110=D109,D110,D109+3)</f>
        <v/>
      </c>
      <c r="F111" s="18">
        <f t="array" ref="F111">INDIRECT(ADDRESS(D111,MATCH("Die "&amp;C111,INDIRECT("A"&amp;D111+1&amp;":J"&amp;D111+1,TRUE),4),TRUE))</f>
        <v/>
      </c>
      <c r="G111" s="18">
        <f t="array" ref="G111">INDIRECT(ADDRESS(D111+2,MATCH("Die "&amp;C111,INDIRECT("A"&amp;D111+1&amp;":J"&amp;D111+1,TRUE),4),TRUE))</f>
        <v/>
      </c>
      <c r="H111">
        <f>IF(AND(ISNUMBER(F111),F111 &gt;=$B$48,F111&lt;$E$48),1,0)</f>
        <v/>
      </c>
      <c r="I111">
        <f>IF(AND(ISNUMBER(G111),G111 &gt;= $B$48,G111&lt;$E$48),1,0)</f>
        <v/>
      </c>
      <c r="J111">
        <f>IF(AND(H111 = 1, I111 = 1),1,0)</f>
        <v/>
      </c>
      <c r="K111" s="43" t="n"/>
      <c r="N111" s="47">
        <f>IF(OR(ISNUMBER(F111),ISNUMBER(G111)),IF(AND(ISNUMBER(F111),ISNUMBER(G111),F111&gt;=$B$48,G111&gt;=$B$48,F111&lt;$E$48,G111&lt;$E$48),"BD",IF(OR(F111&gt;=$B$48/2,G111&gt;=$B$48/2),"UD","")),"")</f>
        <v/>
      </c>
      <c r="O111" s="43" t="n"/>
      <c r="AA111" s="47">
        <f>IF(AND(N111="",COUNTIF($N$52:$N$139,"UD")=0),"",IF(N111="BD","A",IF(N111="UD","B","C")))</f>
        <v/>
      </c>
    </row>
    <row r="112">
      <c r="C112" t="n">
        <v>61</v>
      </c>
      <c r="D112" s="38">
        <f>IF(D111=D110,D111,D110+3)</f>
        <v/>
      </c>
      <c r="F112" s="18">
        <f t="array" ref="F112">INDIRECT(ADDRESS(D112,MATCH("Die "&amp;C112,INDIRECT("A"&amp;D112+1&amp;":J"&amp;D112+1,TRUE),4),TRUE))</f>
        <v/>
      </c>
      <c r="G112" s="18">
        <f t="array" ref="G112">INDIRECT(ADDRESS(D112+2,MATCH("Die "&amp;C112,INDIRECT("A"&amp;D112+1&amp;":J"&amp;D112+1,TRUE),4),TRUE))</f>
        <v/>
      </c>
      <c r="H112">
        <f>IF(AND(ISNUMBER(F112),F112 &gt;=$B$48,F112&lt;$E$48),1,0)</f>
        <v/>
      </c>
      <c r="I112">
        <f>IF(AND(ISNUMBER(G112),G112 &gt;= $B$48,G112&lt;$E$48),1,0)</f>
        <v/>
      </c>
      <c r="J112">
        <f>IF(AND(H112 = 1, I112 = 1),1,0)</f>
        <v/>
      </c>
      <c r="K112" s="43" t="n"/>
      <c r="N112" s="47">
        <f>IF(OR(ISNUMBER(F112),ISNUMBER(G112)),IF(AND(ISNUMBER(F112),ISNUMBER(G112),F112&gt;=$B$48,G112&gt;=$B$48,F112&lt;$E$48,G112&lt;$E$48),"BD",IF(OR(F112&gt;=$B$48/2,G112&gt;=$B$48/2),"UD","")),"")</f>
        <v/>
      </c>
      <c r="O112" s="43" t="n"/>
      <c r="AA112" s="47">
        <f>IF(AND(N112="",COUNTIF($N$52:$N$139,"UD")=0),"",IF(N112="BD","A",IF(N112="UD","B","C")))</f>
        <v/>
      </c>
    </row>
    <row r="113">
      <c r="C113" t="n">
        <v>62</v>
      </c>
      <c r="D113" s="38">
        <f>IF(D112=D111,D112,D111+3)</f>
        <v/>
      </c>
      <c r="F113" s="18">
        <f t="array" ref="F113">INDIRECT(ADDRESS(D113,MATCH("Die "&amp;C113,INDIRECT("A"&amp;D113+1&amp;":J"&amp;D113+1,TRUE),4),TRUE))</f>
        <v/>
      </c>
      <c r="G113" s="18">
        <f t="array" ref="G113">INDIRECT(ADDRESS(D113+2,MATCH("Die "&amp;C113,INDIRECT("A"&amp;D113+1&amp;":J"&amp;D113+1,TRUE),4),TRUE))</f>
        <v/>
      </c>
      <c r="H113">
        <f>IF(AND(ISNUMBER(F113),F113 &gt;=$B$48,F113&lt;$E$48),1,0)</f>
        <v/>
      </c>
      <c r="I113">
        <f>IF(AND(ISNUMBER(G113),G113 &gt;= $B$48,G113&lt;$E$48),1,0)</f>
        <v/>
      </c>
      <c r="J113">
        <f>IF(AND(H113 = 1, I113 = 1),1,0)</f>
        <v/>
      </c>
      <c r="K113" s="43" t="n"/>
      <c r="N113" s="47">
        <f>IF(OR(ISNUMBER(F113),ISNUMBER(G113)),IF(AND(ISNUMBER(F113),ISNUMBER(G113),F113&gt;=$B$48,G113&gt;=$B$48,F113&lt;$E$48,G113&lt;$E$48),"BD",IF(OR(F113&gt;=$B$48/2,G113&gt;=$B$48/2),"UD","")),"")</f>
        <v/>
      </c>
      <c r="O113" s="43" t="n"/>
      <c r="AA113" s="47">
        <f>IF(AND(N113="",COUNTIF($N$52:$N$139,"UD")=0),"",IF(N113="BD","A",IF(N113="UD","B","C")))</f>
        <v/>
      </c>
    </row>
    <row r="114">
      <c r="C114" t="n">
        <v>63</v>
      </c>
      <c r="D114" s="38">
        <f>IF(D113=D112,D113,D112+3)</f>
        <v/>
      </c>
      <c r="F114" s="18">
        <f t="array" ref="F114">INDIRECT(ADDRESS(D114,MATCH("Die "&amp;C114,INDIRECT("A"&amp;D114+1&amp;":J"&amp;D114+1,TRUE),4),TRUE))</f>
        <v/>
      </c>
      <c r="G114" s="18">
        <f t="array" ref="G114">INDIRECT(ADDRESS(D114+2,MATCH("Die "&amp;C114,INDIRECT("A"&amp;D114+1&amp;":J"&amp;D114+1,TRUE),4),TRUE))</f>
        <v/>
      </c>
      <c r="H114">
        <f>IF(AND(ISNUMBER(F114),F114 &gt;=$B$48,F114&lt;$E$48),1,0)</f>
        <v/>
      </c>
      <c r="I114">
        <f>IF(AND(ISNUMBER(G114),G114 &gt;= $B$48,G114&lt;$E$48),1,0)</f>
        <v/>
      </c>
      <c r="J114">
        <f>IF(AND(H114 = 1, I114 = 1),1,0)</f>
        <v/>
      </c>
      <c r="K114" s="43" t="n"/>
      <c r="N114" s="47">
        <f>IF(OR(ISNUMBER(F114),ISNUMBER(G114)),IF(AND(ISNUMBER(F114),ISNUMBER(G114),F114&gt;=$B$48,G114&gt;=$B$48,F114&lt;$E$48,G114&lt;$E$48),"BD",IF(OR(F114&gt;=$B$48/2,G114&gt;=$B$48/2),"UD","")),"")</f>
        <v/>
      </c>
      <c r="O114" s="43" t="n"/>
      <c r="AA114" s="47">
        <f>IF(AND(N114="",COUNTIF($N$52:$N$139,"UD")=0),"",IF(N114="BD","A",IF(N114="UD","B","C")))</f>
        <v/>
      </c>
    </row>
    <row r="115">
      <c r="C115" s="20" t="n">
        <v>64</v>
      </c>
      <c r="D115" s="44">
        <f>IF(D114=D113,D114,D113+3)</f>
        <v/>
      </c>
      <c r="E115" s="20" t="n"/>
      <c r="F115" s="18">
        <f t="array" ref="F115">INDIRECT(ADDRESS(D115,MATCH("Die "&amp;C115,INDIRECT("A"&amp;D115+1&amp;":J"&amp;D115+1,TRUE),4),TRUE))</f>
        <v/>
      </c>
      <c r="G115" s="18">
        <f t="array" ref="G115">INDIRECT(ADDRESS(D115+2,MATCH("Die "&amp;C115,INDIRECT("A"&amp;D115+1&amp;":J"&amp;D115+1,TRUE),4),TRUE))</f>
        <v/>
      </c>
      <c r="H115">
        <f>IF(AND(ISNUMBER(F115),F115 &gt;=$B$48,F115&lt;$E$48),1,0)</f>
        <v/>
      </c>
      <c r="I115">
        <f>IF(AND(ISNUMBER(G115),G115 &gt;= $B$48,G115&lt;$E$48),1,0)</f>
        <v/>
      </c>
      <c r="J115">
        <f>IF(AND(H115 = 1, I115 = 1),1,0)</f>
        <v/>
      </c>
      <c r="K115" s="43" t="n"/>
      <c r="N115" s="47">
        <f>IF(OR(ISNUMBER(F115),ISNUMBER(G115)),IF(AND(ISNUMBER(F115),ISNUMBER(G115),F115&gt;=$B$48,G115&gt;=$B$48,F115&lt;$E$48,G115&lt;$E$48),"BD",IF(OR(F115&gt;=$B$48/2,G115&gt;=$B$48/2),"UD","")),"")</f>
        <v/>
      </c>
      <c r="O115" s="43" t="n"/>
      <c r="AA115" s="47">
        <f>IF(AND(N115="",COUNTIF($N$52:$N$139,"UD")=0),"",IF(N115="BD","A",IF(N115="UD","B","C")))</f>
        <v/>
      </c>
    </row>
    <row r="116">
      <c r="C116" t="n">
        <v>65</v>
      </c>
      <c r="D116" s="38" t="n">
        <v>27</v>
      </c>
      <c r="F116" s="18">
        <f t="array" ref="F116">INDIRECT(ADDRESS(D116,MATCH("Die "&amp;C116,INDIRECT("A"&amp;D116+1&amp;":J"&amp;D116+1,TRUE),4),TRUE))</f>
        <v/>
      </c>
      <c r="G116" s="18">
        <f t="array" ref="G116">INDIRECT(ADDRESS(D116+2,MATCH("Die "&amp;C116,INDIRECT("A"&amp;D116+1&amp;":J"&amp;D116+1,TRUE),4),TRUE))</f>
        <v/>
      </c>
      <c r="H116">
        <f>IF(AND(ISNUMBER(F116),F116 &gt;=$B$48,F116&lt;$E$48),1,0)</f>
        <v/>
      </c>
      <c r="I116">
        <f>IF(AND(ISNUMBER(G116),G116 &gt;= $B$48,G116&lt;$E$48),1,0)</f>
        <v/>
      </c>
      <c r="J116">
        <f>IF(AND(H116 = 1, I116 = 1),1,0)</f>
        <v/>
      </c>
      <c r="K116" s="43" t="n"/>
      <c r="N116" s="47">
        <f>IF(OR(ISNUMBER(F116),ISNUMBER(G116)),IF(AND(ISNUMBER(F116),ISNUMBER(G116),F116&gt;=$B$48,G116&gt;=$B$48,F116&lt;$E$48,G116&lt;$E$48),"BD",IF(OR(F116&gt;=$B$48/2,G116&gt;=$B$48/2),"UD","")),"")</f>
        <v/>
      </c>
      <c r="O116" s="43" t="n"/>
      <c r="AA116" s="47">
        <f>IF(AND(N116="",COUNTIF($N$52:$N$139,"UD")=0),"",IF(N116="BD","A",IF(N116="UD","B","C")))</f>
        <v/>
      </c>
    </row>
    <row r="117">
      <c r="C117" t="n">
        <v>66</v>
      </c>
      <c r="D117" s="38">
        <f>IF(D116=D115,D116,D115+3)</f>
        <v/>
      </c>
      <c r="F117" s="18">
        <f t="array" ref="F117">INDIRECT(ADDRESS(D117,MATCH("Die "&amp;C117,INDIRECT("A"&amp;D117+1&amp;":J"&amp;D117+1,TRUE),4),TRUE))</f>
        <v/>
      </c>
      <c r="G117" s="18">
        <f t="array" ref="G117">INDIRECT(ADDRESS(D117+2,MATCH("Die "&amp;C117,INDIRECT("A"&amp;D117+1&amp;":J"&amp;D117+1,TRUE),4),TRUE))</f>
        <v/>
      </c>
      <c r="H117">
        <f>IF(AND(ISNUMBER(F117),F117 &gt;=$B$48,F117&lt;$E$48),1,0)</f>
        <v/>
      </c>
      <c r="I117">
        <f>IF(AND(ISNUMBER(G117),G117 &gt;= $B$48,G117&lt;$E$48),1,0)</f>
        <v/>
      </c>
      <c r="J117">
        <f>IF(AND(H117 = 1, I117 = 1),1,0)</f>
        <v/>
      </c>
      <c r="K117" s="43" t="n"/>
      <c r="N117" s="47">
        <f>IF(OR(ISNUMBER(F117),ISNUMBER(G117)),IF(AND(ISNUMBER(F117),ISNUMBER(G117),F117&gt;=$B$48,G117&gt;=$B$48,F117&lt;$E$48,G117&lt;$E$48),"BD",IF(OR(F117&gt;=$B$48/2,G117&gt;=$B$48/2),"UD","")),"")</f>
        <v/>
      </c>
      <c r="O117" s="43" t="n"/>
      <c r="AA117" s="47">
        <f>IF(AND(N117="",COUNTIF($N$52:$N$139,"UD")=0),"",IF(N117="BD","A",IF(N117="UD","B","C")))</f>
        <v/>
      </c>
    </row>
    <row r="118">
      <c r="C118" t="n">
        <v>67</v>
      </c>
      <c r="D118" s="38">
        <f>IF(D117=D116,D117,D116+3)</f>
        <v/>
      </c>
      <c r="F118" s="18">
        <f t="array" ref="F118">INDIRECT(ADDRESS(D118,MATCH("Die "&amp;C118,INDIRECT("A"&amp;D118+1&amp;":J"&amp;D118+1,TRUE),4),TRUE))</f>
        <v/>
      </c>
      <c r="G118" s="18">
        <f t="array" ref="G118">INDIRECT(ADDRESS(D118+2,MATCH("Die "&amp;C118,INDIRECT("A"&amp;D118+1&amp;":J"&amp;D118+1,TRUE),4),TRUE))</f>
        <v/>
      </c>
      <c r="H118">
        <f>IF(AND(ISNUMBER(F118),F118 &gt;=$B$48,F118&lt;$E$48),1,0)</f>
        <v/>
      </c>
      <c r="I118">
        <f>IF(AND(ISNUMBER(G118),G118 &gt;= $B$48,G118&lt;$E$48),1,0)</f>
        <v/>
      </c>
      <c r="J118">
        <f>IF(AND(H118 = 1, I118 = 1),1,0)</f>
        <v/>
      </c>
      <c r="K118" s="43" t="n"/>
      <c r="N118" s="47">
        <f>IF(OR(ISNUMBER(F118),ISNUMBER(G118)),IF(AND(ISNUMBER(F118),ISNUMBER(G118),F118&gt;=$B$48,G118&gt;=$B$48,F118&lt;$E$48,G118&lt;$E$48),"BD",IF(OR(F118&gt;=$B$48/2,G118&gt;=$B$48/2),"UD","")),"")</f>
        <v/>
      </c>
      <c r="O118" s="43" t="n"/>
      <c r="AA118" s="47">
        <f>IF(AND(N118="",COUNTIF($N$52:$N$139,"UD")=0),"",IF(N118="BD","A",IF(N118="UD","B","C")))</f>
        <v/>
      </c>
    </row>
    <row r="119">
      <c r="C119" t="n">
        <v>68</v>
      </c>
      <c r="D119" s="38">
        <f>IF(D118=D117,D118,D117+3)</f>
        <v/>
      </c>
      <c r="F119" s="18">
        <f t="array" ref="F119">INDIRECT(ADDRESS(D119,MATCH("Die "&amp;C119,INDIRECT("A"&amp;D119+1&amp;":J"&amp;D119+1,TRUE),4),TRUE))</f>
        <v/>
      </c>
      <c r="G119" s="18">
        <f t="array" ref="G119">INDIRECT(ADDRESS(D119+2,MATCH("Die "&amp;C119,INDIRECT("A"&amp;D119+1&amp;":J"&amp;D119+1,TRUE),4),TRUE))</f>
        <v/>
      </c>
      <c r="H119">
        <f>IF(AND(ISNUMBER(F119),F119 &gt;=$B$48,F119&lt;$E$48),1,0)</f>
        <v/>
      </c>
      <c r="I119">
        <f>IF(AND(ISNUMBER(G119),G119 &gt;= $B$48,G119&lt;$E$48),1,0)</f>
        <v/>
      </c>
      <c r="J119">
        <f>IF(AND(H119 = 1, I119 = 1),1,0)</f>
        <v/>
      </c>
      <c r="K119" s="43" t="n"/>
      <c r="N119" s="47">
        <f>IF(OR(ISNUMBER(F119),ISNUMBER(G119)),IF(AND(ISNUMBER(F119),ISNUMBER(G119),F119&gt;=$B$48,G119&gt;=$B$48,F119&lt;$E$48,G119&lt;$E$48),"BD",IF(OR(F119&gt;=$B$48/2,G119&gt;=$B$48/2),"UD","")),"")</f>
        <v/>
      </c>
      <c r="O119" s="43" t="n"/>
      <c r="AA119" s="47">
        <f>IF(AND(N119="",COUNTIF($N$52:$N$139,"UD")=0),"",IF(N119="BD","A",IF(N119="UD","B","C")))</f>
        <v/>
      </c>
    </row>
    <row r="120">
      <c r="C120" t="n">
        <v>69</v>
      </c>
      <c r="D120" s="38">
        <f>IF(D119=D118,D119,D118+3)</f>
        <v/>
      </c>
      <c r="F120" s="18">
        <f t="array" ref="F120">INDIRECT(ADDRESS(D120,MATCH("Die "&amp;C120,INDIRECT("A"&amp;D120+1&amp;":J"&amp;D120+1,TRUE),4),TRUE))</f>
        <v/>
      </c>
      <c r="G120" s="18">
        <f t="array" ref="G120">INDIRECT(ADDRESS(D120+2,MATCH("Die "&amp;C120,INDIRECT("A"&amp;D120+1&amp;":J"&amp;D120+1,TRUE),4),TRUE))</f>
        <v/>
      </c>
      <c r="H120">
        <f>IF(AND(ISNUMBER(F120),F120 &gt;=$B$48,F120&lt;$E$48),1,0)</f>
        <v/>
      </c>
      <c r="I120">
        <f>IF(AND(ISNUMBER(G120),G120 &gt;= $B$48,G120&lt;$E$48),1,0)</f>
        <v/>
      </c>
      <c r="J120">
        <f>IF(AND(H120 = 1, I120 = 1),1,0)</f>
        <v/>
      </c>
      <c r="K120" s="43" t="n"/>
      <c r="N120" s="47">
        <f>IF(OR(ISNUMBER(F120),ISNUMBER(G120)),IF(AND(ISNUMBER(F120),ISNUMBER(G120),F120&gt;=$B$48,G120&gt;=$B$48,F120&lt;$E$48,G120&lt;$E$48),"BD",IF(OR(F120&gt;=$B$48/2,G120&gt;=$B$48/2),"UD","")),"")</f>
        <v/>
      </c>
      <c r="O120" s="43" t="n"/>
      <c r="AA120" s="47">
        <f>IF(AND(N120="",COUNTIF($N$52:$N$139,"UD")=0),"",IF(N120="BD","A",IF(N120="UD","B","C")))</f>
        <v/>
      </c>
    </row>
    <row r="121">
      <c r="C121" t="n">
        <v>70</v>
      </c>
      <c r="D121" s="38">
        <f>IF(D120=D119,D120,D119+3)</f>
        <v/>
      </c>
      <c r="F121" s="18">
        <f t="array" ref="F121">INDIRECT(ADDRESS(D121,MATCH("Die "&amp;C121,INDIRECT("A"&amp;D121+1&amp;":J"&amp;D121+1,TRUE),4),TRUE))</f>
        <v/>
      </c>
      <c r="G121" s="18">
        <f t="array" ref="G121">INDIRECT(ADDRESS(D121+2,MATCH("Die "&amp;C121,INDIRECT("A"&amp;D121+1&amp;":J"&amp;D121+1,TRUE),4),TRUE))</f>
        <v/>
      </c>
      <c r="H121">
        <f>IF(AND(ISNUMBER(F121),F121 &gt;=$B$48,F121&lt;$E$48),1,0)</f>
        <v/>
      </c>
      <c r="I121">
        <f>IF(AND(ISNUMBER(G121),G121 &gt;= $B$48,G121&lt;$E$48),1,0)</f>
        <v/>
      </c>
      <c r="J121">
        <f>IF(AND(H121 = 1, I121 = 1),1,0)</f>
        <v/>
      </c>
      <c r="K121" s="43" t="n"/>
      <c r="N121" s="47">
        <f>IF(OR(ISNUMBER(F121),ISNUMBER(G121)),IF(AND(ISNUMBER(F121),ISNUMBER(G121),F121&gt;=$B$48,G121&gt;=$B$48,F121&lt;$E$48,G121&lt;$E$48),"BD",IF(OR(F121&gt;=$B$48/2,G121&gt;=$B$48/2),"UD","")),"")</f>
        <v/>
      </c>
      <c r="O121" s="43" t="n"/>
      <c r="AA121" s="47">
        <f>IF(AND(N121="",COUNTIF($N$52:$N$139,"UD")=0),"",IF(N121="BD","A",IF(N121="UD","B","C")))</f>
        <v/>
      </c>
    </row>
    <row r="122">
      <c r="C122" t="n">
        <v>71</v>
      </c>
      <c r="D122" s="38">
        <f>IF(D121=D120,D121,D120+3)</f>
        <v/>
      </c>
      <c r="F122" s="18">
        <f t="array" ref="F122">INDIRECT(ADDRESS(D122,MATCH("Die "&amp;C122,INDIRECT("A"&amp;D122+1&amp;":J"&amp;D122+1,TRUE),4),TRUE))</f>
        <v/>
      </c>
      <c r="G122" s="18">
        <f t="array" ref="G122">INDIRECT(ADDRESS(D122+2,MATCH("Die "&amp;C122,INDIRECT("A"&amp;D122+1&amp;":J"&amp;D122+1,TRUE),4),TRUE))</f>
        <v/>
      </c>
      <c r="H122">
        <f>IF(AND(ISNUMBER(F122),F122 &gt;=$B$48,F122&lt;$E$48),1,0)</f>
        <v/>
      </c>
      <c r="I122">
        <f>IF(AND(ISNUMBER(G122),G122 &gt;= $B$48,G122&lt;$E$48),1,0)</f>
        <v/>
      </c>
      <c r="J122">
        <f>IF(AND(H122 = 1, I122 = 1),1,0)</f>
        <v/>
      </c>
      <c r="K122" s="43" t="n"/>
      <c r="N122" s="47">
        <f>IF(OR(ISNUMBER(F122),ISNUMBER(G122)),IF(AND(ISNUMBER(F122),ISNUMBER(G122),F122&gt;=$B$48,G122&gt;=$B$48,F122&lt;$E$48,G122&lt;$E$48),"BD",IF(OR(F122&gt;=$B$48/2,G122&gt;=$B$48/2),"UD","")),"")</f>
        <v/>
      </c>
      <c r="O122" s="43" t="n"/>
      <c r="AA122" s="47">
        <f>IF(AND(N122="",COUNTIF($N$52:$N$139,"UD")=0),"",IF(N122="BD","A",IF(N122="UD","B","C")))</f>
        <v/>
      </c>
    </row>
    <row r="123">
      <c r="C123" t="n">
        <v>72</v>
      </c>
      <c r="D123" s="38">
        <f>IF(D122=D121,D122,D121+3)</f>
        <v/>
      </c>
      <c r="F123" s="18">
        <f t="array" ref="F123">INDIRECT(ADDRESS(D123,MATCH("Die "&amp;C123,INDIRECT("A"&amp;D123+1&amp;":J"&amp;D123+1,TRUE),4),TRUE))</f>
        <v/>
      </c>
      <c r="G123" s="18">
        <f t="array" ref="G123">INDIRECT(ADDRESS(D123+2,MATCH("Die "&amp;C123,INDIRECT("A"&amp;D123+1&amp;":J"&amp;D123+1,TRUE),4),TRUE))</f>
        <v/>
      </c>
      <c r="H123">
        <f>IF(AND(ISNUMBER(F123),F123 &gt;=$B$48,F123&lt;$E$48),1,0)</f>
        <v/>
      </c>
      <c r="I123">
        <f>IF(AND(ISNUMBER(G123),G123 &gt;= $B$48,G123&lt;$E$48),1,0)</f>
        <v/>
      </c>
      <c r="J123">
        <f>IF(AND(H123 = 1, I123 = 1),1,0)</f>
        <v/>
      </c>
      <c r="K123" s="43" t="n"/>
      <c r="N123" s="47">
        <f>IF(OR(ISNUMBER(F123),ISNUMBER(G123)),IF(AND(ISNUMBER(F123),ISNUMBER(G123),F123&gt;=$B$48,G123&gt;=$B$48,F123&lt;$E$48,G123&lt;$E$48),"BD",IF(OR(F123&gt;=$B$48/2,G123&gt;=$B$48/2),"UD","")),"")</f>
        <v/>
      </c>
      <c r="O123" s="43" t="n"/>
      <c r="AA123" s="47">
        <f>IF(AND(N123="",COUNTIF($N$52:$N$139,"UD")=0),"",IF(N123="BD","A",IF(N123="UD","B","C")))</f>
        <v/>
      </c>
    </row>
    <row r="124">
      <c r="C124" t="n">
        <v>73</v>
      </c>
      <c r="D124" s="38">
        <f>IF(D123=D122,D123,D122+3)</f>
        <v/>
      </c>
      <c r="F124" s="18">
        <f t="array" ref="F124">INDIRECT(ADDRESS(D124,MATCH("Die "&amp;C124,INDIRECT("A"&amp;D124+1&amp;":J"&amp;D124+1,TRUE),4),TRUE))</f>
        <v/>
      </c>
      <c r="G124" s="18">
        <f t="array" ref="G124">INDIRECT(ADDRESS(D124+2,MATCH("Die "&amp;C124,INDIRECT("A"&amp;D124+1&amp;":J"&amp;D124+1,TRUE),4),TRUE))</f>
        <v/>
      </c>
      <c r="H124">
        <f>IF(AND(ISNUMBER(F124),F124 &gt;=$B$48,F124&lt;$E$48),1,0)</f>
        <v/>
      </c>
      <c r="I124">
        <f>IF(AND(ISNUMBER(G124),G124 &gt;= $B$48,G124&lt;$E$48),1,0)</f>
        <v/>
      </c>
      <c r="J124">
        <f>IF(AND(H124 = 1, I124 = 1),1,0)</f>
        <v/>
      </c>
      <c r="K124" s="43" t="n"/>
      <c r="N124" s="47">
        <f>IF(OR(ISNUMBER(F124),ISNUMBER(G124)),IF(AND(ISNUMBER(F124),ISNUMBER(G124),F124&gt;=$B$48,G124&gt;=$B$48,F124&lt;$E$48,G124&lt;$E$48),"BD",IF(OR(F124&gt;=$B$48/2,G124&gt;=$B$48/2),"UD","")),"")</f>
        <v/>
      </c>
      <c r="O124" s="43" t="n"/>
      <c r="AA124" s="47">
        <f>IF(AND(N124="",COUNTIF($N$52:$N$139,"UD")=0),"",IF(N124="BD","A",IF(N124="UD","B","C")))</f>
        <v/>
      </c>
    </row>
    <row r="125">
      <c r="C125" s="20" t="n">
        <v>74</v>
      </c>
      <c r="D125" s="44">
        <f>IF(D124=D123,D124,D123+3)</f>
        <v/>
      </c>
      <c r="E125" s="20" t="n"/>
      <c r="F125" s="18">
        <f t="array" ref="F125">INDIRECT(ADDRESS(D125,MATCH("Die "&amp;C125,INDIRECT("A"&amp;D125+1&amp;":J"&amp;D125+1,TRUE),4),TRUE))</f>
        <v/>
      </c>
      <c r="G125" s="18">
        <f t="array" ref="G125">INDIRECT(ADDRESS(D125+2,MATCH("Die "&amp;C125,INDIRECT("A"&amp;D125+1&amp;":J"&amp;D125+1,TRUE),4),TRUE))</f>
        <v/>
      </c>
      <c r="H125">
        <f>IF(AND(ISNUMBER(F125),F125 &gt;=$B$48,F125&lt;$E$48),1,0)</f>
        <v/>
      </c>
      <c r="I125">
        <f>IF(AND(ISNUMBER(G125),G125 &gt;= $B$48,G125&lt;$E$48),1,0)</f>
        <v/>
      </c>
      <c r="J125">
        <f>IF(AND(H125 = 1, I125 = 1),1,0)</f>
        <v/>
      </c>
      <c r="K125" s="43" t="n"/>
      <c r="N125" s="47">
        <f>IF(OR(ISNUMBER(F125),ISNUMBER(G125)),IF(AND(ISNUMBER(F125),ISNUMBER(G125),F125&gt;=$B$48,G125&gt;=$B$48,F125&lt;$E$48,G125&lt;$E$48),"BD",IF(OR(F125&gt;=$B$48/2,G125&gt;=$B$48/2),"UD","")),"")</f>
        <v/>
      </c>
      <c r="O125" s="43" t="n"/>
      <c r="AA125" s="47">
        <f>IF(AND(N125="",COUNTIF($N$52:$N$139,"UD")=0),"",IF(N125="BD","A",IF(N125="UD","B","C")))</f>
        <v/>
      </c>
    </row>
    <row r="126">
      <c r="C126" t="n">
        <v>75</v>
      </c>
      <c r="D126" s="38" t="n">
        <v>30</v>
      </c>
      <c r="F126" s="18">
        <f t="array" ref="F126">INDIRECT(ADDRESS(D126,MATCH("Die "&amp;C126,INDIRECT("A"&amp;D126+1&amp;":J"&amp;D126+1,TRUE),4),TRUE))</f>
        <v/>
      </c>
      <c r="G126" s="18">
        <f t="array" ref="G126">INDIRECT(ADDRESS(D126+2,MATCH("Die "&amp;C126,INDIRECT("A"&amp;D126+1&amp;":J"&amp;D126+1,TRUE),4),TRUE))</f>
        <v/>
      </c>
      <c r="H126">
        <f>IF(AND(ISNUMBER(F126),F126 &gt;=$B$48,F126&lt;$E$48),1,0)</f>
        <v/>
      </c>
      <c r="I126">
        <f>IF(AND(ISNUMBER(G126),G126 &gt;= $B$48,G126&lt;$E$48),1,0)</f>
        <v/>
      </c>
      <c r="J126">
        <f>IF(AND(H126 = 1, I126 = 1),1,0)</f>
        <v/>
      </c>
      <c r="K126" s="43" t="n"/>
      <c r="N126" s="47">
        <f>IF(OR(ISNUMBER(F126),ISNUMBER(G126)),IF(AND(ISNUMBER(F126),ISNUMBER(G126),F126&gt;=$B$48,G126&gt;=$B$48,F126&lt;$E$48,G126&lt;$E$48),"BD",IF(OR(F126&gt;=$B$48/2,G126&gt;=$B$48/2),"UD","")),"")</f>
        <v/>
      </c>
      <c r="O126" s="43" t="n"/>
      <c r="AA126" s="47">
        <f>IF(AND(N126="",COUNTIF($N$52:$N$139,"UD")=0),"",IF(N126="BD","A",IF(N126="UD","B","C")))</f>
        <v/>
      </c>
    </row>
    <row r="127">
      <c r="C127" t="n">
        <v>76</v>
      </c>
      <c r="D127" s="38">
        <f>IF(D126=D125,D126,D125+3)</f>
        <v/>
      </c>
      <c r="F127" s="18">
        <f t="array" ref="F127">INDIRECT(ADDRESS(D127,MATCH("Die "&amp;C127,INDIRECT("A"&amp;D127+1&amp;":J"&amp;D127+1,TRUE),4),TRUE))</f>
        <v/>
      </c>
      <c r="G127" s="18">
        <f t="array" ref="G127">INDIRECT(ADDRESS(D127+2,MATCH("Die "&amp;C127,INDIRECT("A"&amp;D127+1&amp;":J"&amp;D127+1,TRUE),4),TRUE))</f>
        <v/>
      </c>
      <c r="H127">
        <f>IF(AND(ISNUMBER(F127),F127 &gt;=$B$48,F127&lt;$E$48),1,0)</f>
        <v/>
      </c>
      <c r="I127">
        <f>IF(AND(ISNUMBER(G127),G127 &gt;= $B$48,G127&lt;$E$48),1,0)</f>
        <v/>
      </c>
      <c r="J127">
        <f>IF(AND(H127 = 1, I127 = 1),1,0)</f>
        <v/>
      </c>
      <c r="K127" s="43" t="n"/>
      <c r="N127" s="47">
        <f>IF(OR(ISNUMBER(F127),ISNUMBER(G127)),IF(AND(ISNUMBER(F127),ISNUMBER(G127),F127&gt;=$B$48,G127&gt;=$B$48,F127&lt;$E$48,G127&lt;$E$48),"BD",IF(OR(F127&gt;=$B$48/2,G127&gt;=$B$48/2),"UD","")),"")</f>
        <v/>
      </c>
      <c r="O127" s="43" t="n"/>
      <c r="AA127" s="47">
        <f>IF(AND(N127="",COUNTIF($N$52:$N$139,"UD")=0),"",IF(N127="BD","A",IF(N127="UD","B","C")))</f>
        <v/>
      </c>
    </row>
    <row r="128">
      <c r="C128" t="n">
        <v>77</v>
      </c>
      <c r="D128" s="38">
        <f>IF(D127=D126,D127,D126+3)</f>
        <v/>
      </c>
      <c r="F128" s="18">
        <f t="array" ref="F128">INDIRECT(ADDRESS(D128,MATCH("Die "&amp;C128,INDIRECT("A"&amp;D128+1&amp;":J"&amp;D128+1,TRUE),4),TRUE))</f>
        <v/>
      </c>
      <c r="G128" s="18">
        <f t="array" ref="G128">INDIRECT(ADDRESS(D128+2,MATCH("Die "&amp;C128,INDIRECT("A"&amp;D128+1&amp;":J"&amp;D128+1,TRUE),4),TRUE))</f>
        <v/>
      </c>
      <c r="H128">
        <f>IF(AND(ISNUMBER(F128),F128 &gt;=$B$48,F128&lt;$E$48),1,0)</f>
        <v/>
      </c>
      <c r="I128">
        <f>IF(AND(ISNUMBER(G128),G128 &gt;= $B$48,G128&lt;$E$48),1,0)</f>
        <v/>
      </c>
      <c r="J128">
        <f>IF(AND(H128 = 1, I128 = 1),1,0)</f>
        <v/>
      </c>
      <c r="K128" s="43" t="n"/>
      <c r="N128" s="47">
        <f>IF(OR(ISNUMBER(F128),ISNUMBER(G128)),IF(AND(ISNUMBER(F128),ISNUMBER(G128),F128&gt;=$B$48,G128&gt;=$B$48,F128&lt;$E$48,G128&lt;$E$48),"BD",IF(OR(F128&gt;=$B$48/2,G128&gt;=$B$48/2),"UD","")),"")</f>
        <v/>
      </c>
      <c r="O128" s="43" t="n"/>
      <c r="AA128" s="47">
        <f>IF(AND(N128="",COUNTIF($N$52:$N$139,"UD")=0),"",IF(N128="BD","A",IF(N128="UD","B","C")))</f>
        <v/>
      </c>
    </row>
    <row r="129">
      <c r="C129" t="n">
        <v>78</v>
      </c>
      <c r="D129" s="38">
        <f>IF(D128=D127,D128,D127+3)</f>
        <v/>
      </c>
      <c r="F129" s="18">
        <f t="array" ref="F129">INDIRECT(ADDRESS(D129,MATCH("Die "&amp;C129,INDIRECT("A"&amp;D129+1&amp;":J"&amp;D129+1,TRUE),4),TRUE))</f>
        <v/>
      </c>
      <c r="G129" s="18">
        <f t="array" ref="G129">INDIRECT(ADDRESS(D129+2,MATCH("Die "&amp;C129,INDIRECT("A"&amp;D129+1&amp;":J"&amp;D129+1,TRUE),4),TRUE))</f>
        <v/>
      </c>
      <c r="H129">
        <f>IF(AND(ISNUMBER(F129),F129 &gt;=$B$48,F129&lt;$E$48),1,0)</f>
        <v/>
      </c>
      <c r="I129">
        <f>IF(AND(ISNUMBER(G129),G129 &gt;= $B$48,G129&lt;$E$48),1,0)</f>
        <v/>
      </c>
      <c r="J129">
        <f>IF(AND(H129 = 1, I129 = 1),1,0)</f>
        <v/>
      </c>
      <c r="K129" s="43" t="n"/>
      <c r="N129" s="47">
        <f>IF(OR(ISNUMBER(F129),ISNUMBER(G129)),IF(AND(ISNUMBER(F129),ISNUMBER(G129),F129&gt;=$B$48,G129&gt;=$B$48,F129&lt;$E$48,G129&lt;$E$48),"BD",IF(OR(F129&gt;=$B$48/2,G129&gt;=$B$48/2),"UD","")),"")</f>
        <v/>
      </c>
      <c r="O129" s="43" t="n"/>
      <c r="AA129" s="47">
        <f>IF(AND(N129="",COUNTIF($N$52:$N$139,"UD")=0),"",IF(N129="BD","A",IF(N129="UD","B","C")))</f>
        <v/>
      </c>
    </row>
    <row r="130">
      <c r="C130" t="n">
        <v>79</v>
      </c>
      <c r="D130" s="38">
        <f>IF(D129=D128,D129,D128+3)</f>
        <v/>
      </c>
      <c r="F130" s="18">
        <f t="array" ref="F130">INDIRECT(ADDRESS(D130,MATCH("Die "&amp;C130,INDIRECT("A"&amp;D130+1&amp;":J"&amp;D130+1,TRUE),4),TRUE))</f>
        <v/>
      </c>
      <c r="G130" s="18">
        <f t="array" ref="G130">INDIRECT(ADDRESS(D130+2,MATCH("Die "&amp;C130,INDIRECT("A"&amp;D130+1&amp;":J"&amp;D130+1,TRUE),4),TRUE))</f>
        <v/>
      </c>
      <c r="H130">
        <f>IF(AND(ISNUMBER(F130),F130 &gt;=$B$48,F130&lt;$E$48),1,0)</f>
        <v/>
      </c>
      <c r="I130">
        <f>IF(AND(ISNUMBER(G130),G130 &gt;= $B$48,G130&lt;$E$48),1,0)</f>
        <v/>
      </c>
      <c r="J130">
        <f>IF(AND(H130 = 1, I130 = 1),1,0)</f>
        <v/>
      </c>
      <c r="K130" s="43" t="n"/>
      <c r="N130" s="47">
        <f>IF(OR(ISNUMBER(F130),ISNUMBER(G130)),IF(AND(ISNUMBER(F130),ISNUMBER(G130),F130&gt;=$B$48,G130&gt;=$B$48,F130&lt;$E$48,G130&lt;$E$48),"BD",IF(OR(F130&gt;=$B$48/2,G130&gt;=$B$48/2),"UD","")),"")</f>
        <v/>
      </c>
      <c r="O130" s="43" t="n"/>
      <c r="AA130" s="47">
        <f>IF(AND(N130="",COUNTIF($N$52:$N$139,"UD")=0),"",IF(N130="BD","A",IF(N130="UD","B","C")))</f>
        <v/>
      </c>
    </row>
    <row r="131">
      <c r="C131" t="n">
        <v>80</v>
      </c>
      <c r="D131" s="38">
        <f>IF(D130=D129,D130,D129+3)</f>
        <v/>
      </c>
      <c r="F131" s="18">
        <f t="array" ref="F131">INDIRECT(ADDRESS(D131,MATCH("Die "&amp;C131,INDIRECT("A"&amp;D131+1&amp;":J"&amp;D131+1,TRUE),4),TRUE))</f>
        <v/>
      </c>
      <c r="G131" s="18">
        <f t="array" ref="G131">INDIRECT(ADDRESS(D131+2,MATCH("Die "&amp;C131,INDIRECT("A"&amp;D131+1&amp;":J"&amp;D131+1,TRUE),4),TRUE))</f>
        <v/>
      </c>
      <c r="H131">
        <f>IF(AND(ISNUMBER(F131),F131 &gt;=$B$48,F131&lt;$E$48),1,0)</f>
        <v/>
      </c>
      <c r="I131">
        <f>IF(AND(ISNUMBER(G131),G131 &gt;= $B$48,G131&lt;$E$48),1,0)</f>
        <v/>
      </c>
      <c r="J131">
        <f>IF(AND(H131 = 1, I131 = 1),1,0)</f>
        <v/>
      </c>
      <c r="K131" s="43" t="n"/>
      <c r="N131" s="47">
        <f>IF(OR(ISNUMBER(F131),ISNUMBER(G131)),IF(AND(ISNUMBER(F131),ISNUMBER(G131),F131&gt;=$B$48,G131&gt;=$B$48,F131&lt;$E$48,G131&lt;$E$48),"BD",IF(OR(F131&gt;=$B$48/2,G131&gt;=$B$48/2),"UD","")),"")</f>
        <v/>
      </c>
      <c r="O131" s="43" t="n"/>
      <c r="AA131" s="47">
        <f>IF(AND(N131="",COUNTIF($N$52:$N$139,"UD")=0),"",IF(N131="BD","A",IF(N131="UD","B","C")))</f>
        <v/>
      </c>
    </row>
    <row r="132">
      <c r="C132" t="n">
        <v>81</v>
      </c>
      <c r="D132" s="38">
        <f>IF(D131=D130,D131,D130+3)</f>
        <v/>
      </c>
      <c r="F132" s="18">
        <f t="array" ref="F132">INDIRECT(ADDRESS(D132,MATCH("Die "&amp;C132,INDIRECT("A"&amp;D132+1&amp;":J"&amp;D132+1,TRUE),4),TRUE))</f>
        <v/>
      </c>
      <c r="G132" s="18">
        <f t="array" ref="G132">INDIRECT(ADDRESS(D132+2,MATCH("Die "&amp;C132,INDIRECT("A"&amp;D132+1&amp;":J"&amp;D132+1,TRUE),4),TRUE))</f>
        <v/>
      </c>
      <c r="H132">
        <f>IF(AND(ISNUMBER(F132),F132 &gt;=$B$48,F132&lt;$E$48),1,0)</f>
        <v/>
      </c>
      <c r="I132">
        <f>IF(AND(ISNUMBER(G132),G132 &gt;= $B$48,G132&lt;$E$48),1,0)</f>
        <v/>
      </c>
      <c r="J132">
        <f>IF(AND(H132 = 1, I132 = 1),1,0)</f>
        <v/>
      </c>
      <c r="K132" s="43" t="n"/>
      <c r="N132" s="47">
        <f>IF(OR(ISNUMBER(F132),ISNUMBER(G132)),IF(AND(ISNUMBER(F132),ISNUMBER(G132),F132&gt;=$B$48,G132&gt;=$B$48,F132&lt;$E$48,G132&lt;$E$48),"BD",IF(OR(F132&gt;=$B$48/2,G132&gt;=$B$48/2),"UD","")),"")</f>
        <v/>
      </c>
      <c r="O132" s="43" t="n"/>
      <c r="AA132" s="47">
        <f>IF(AND(N132="",COUNTIF($N$52:$N$139,"UD")=0),"",IF(N132="BD","A",IF(N132="UD","B","C")))</f>
        <v/>
      </c>
    </row>
    <row r="133">
      <c r="C133" s="20" t="n">
        <v>82</v>
      </c>
      <c r="D133" s="44">
        <f>IF(D132=D131,D132,D131+3)</f>
        <v/>
      </c>
      <c r="E133" s="20" t="n"/>
      <c r="F133" s="18">
        <f t="array" ref="F133">INDIRECT(ADDRESS(D133,MATCH("Die "&amp;C133,INDIRECT("A"&amp;D133+1&amp;":J"&amp;D133+1,TRUE),4),TRUE))</f>
        <v/>
      </c>
      <c r="G133" s="18">
        <f t="array" ref="G133">INDIRECT(ADDRESS(D133+2,MATCH("Die "&amp;C133,INDIRECT("A"&amp;D133+1&amp;":J"&amp;D133+1,TRUE),4),TRUE))</f>
        <v/>
      </c>
      <c r="H133">
        <f>IF(AND(ISNUMBER(F133),F133 &gt;=$B$48,F133&lt;$E$48),1,0)</f>
        <v/>
      </c>
      <c r="I133">
        <f>IF(AND(ISNUMBER(G133),G133 &gt;= $B$48,G133&lt;$E$48),1,0)</f>
        <v/>
      </c>
      <c r="J133">
        <f>IF(AND(H133 = 1, I133 = 1),1,0)</f>
        <v/>
      </c>
      <c r="K133" s="43" t="n"/>
      <c r="N133" s="47">
        <f>IF(OR(ISNUMBER(F133),ISNUMBER(G133)),IF(AND(ISNUMBER(F133),ISNUMBER(G133),F133&gt;=$B$48,G133&gt;=$B$48,F133&lt;$E$48,G133&lt;$E$48),"BD",IF(OR(F133&gt;=$B$48/2,G133&gt;=$B$48/2),"UD","")),"")</f>
        <v/>
      </c>
      <c r="O133" s="43" t="n"/>
      <c r="AA133" s="47">
        <f>IF(AND(N133="",COUNTIF($N$52:$N$139,"UD")=0),"",IF(N133="BD","A",IF(N133="UD","B","C")))</f>
        <v/>
      </c>
    </row>
    <row r="134">
      <c r="C134" t="n">
        <v>83</v>
      </c>
      <c r="D134" s="38" t="n">
        <v>33</v>
      </c>
      <c r="F134" s="18">
        <f t="array" ref="F134">INDIRECT(ADDRESS(D134,MATCH("Die "&amp;C134,INDIRECT("A"&amp;D134+1&amp;":J"&amp;D134+1,TRUE),4),TRUE))</f>
        <v/>
      </c>
      <c r="G134" s="18">
        <f t="array" ref="G134">INDIRECT(ADDRESS(D134+2,MATCH("Die "&amp;C134,INDIRECT("A"&amp;D134+1&amp;":J"&amp;D134+1,TRUE),4),TRUE))</f>
        <v/>
      </c>
      <c r="H134">
        <f>IF(AND(ISNUMBER(F134),F134 &gt;=$B$48,F134&lt;$E$48),1,0)</f>
        <v/>
      </c>
      <c r="I134">
        <f>IF(AND(ISNUMBER(G134),G134 &gt;= $B$48,G134&lt;$E$48),1,0)</f>
        <v/>
      </c>
      <c r="J134">
        <f>IF(AND(H134 = 1, I134 = 1),1,0)</f>
        <v/>
      </c>
      <c r="K134" s="43" t="n"/>
      <c r="N134" s="47">
        <f>IF(OR(ISNUMBER(F134),ISNUMBER(G134)),IF(AND(ISNUMBER(F134),ISNUMBER(G134),F134&gt;=$B$48,G134&gt;=$B$48,F134&lt;$E$48,G134&lt;$E$48),"BD",IF(OR(F134&gt;=$B$48/2,G134&gt;=$B$48/2),"UD","")),"")</f>
        <v/>
      </c>
      <c r="O134" s="43" t="n"/>
      <c r="AA134" s="47">
        <f>IF(AND(N134="",COUNTIF($N$52:$N$139,"UD")=0),"",IF(N134="BD","A",IF(N134="UD","B","C")))</f>
        <v/>
      </c>
    </row>
    <row r="135">
      <c r="C135" t="n">
        <v>84</v>
      </c>
      <c r="D135" s="38">
        <f>IF(D134=D133,D134,D133+3)</f>
        <v/>
      </c>
      <c r="F135" s="18">
        <f t="array" ref="F135">INDIRECT(ADDRESS(D135,MATCH("Die "&amp;C135,INDIRECT("A"&amp;D135+1&amp;":J"&amp;D135+1,TRUE),4),TRUE))</f>
        <v/>
      </c>
      <c r="G135" s="18">
        <f t="array" ref="G135">INDIRECT(ADDRESS(D135+2,MATCH("Die "&amp;C135,INDIRECT("A"&amp;D135+1&amp;":J"&amp;D135+1,TRUE),4),TRUE))</f>
        <v/>
      </c>
      <c r="H135">
        <f>IF(AND(ISNUMBER(F135),F135 &gt;=$B$48,F135&lt;$E$48),1,0)</f>
        <v/>
      </c>
      <c r="I135">
        <f>IF(AND(ISNUMBER(G135),G135 &gt;= $B$48,G135&lt;$E$48),1,0)</f>
        <v/>
      </c>
      <c r="J135">
        <f>IF(AND(H135 = 1, I135 = 1),1,0)</f>
        <v/>
      </c>
      <c r="K135" s="43" t="n"/>
      <c r="N135" s="47">
        <f>IF(OR(ISNUMBER(F135),ISNUMBER(G135)),IF(AND(ISNUMBER(F135),ISNUMBER(G135),F135&gt;=$B$48,G135&gt;=$B$48,F135&lt;$E$48,G135&lt;$E$48),"BD",IF(OR(F135&gt;=$B$48/2,G135&gt;=$B$48/2),"UD","")),"")</f>
        <v/>
      </c>
      <c r="O135" s="43" t="n"/>
      <c r="AA135" s="47">
        <f>IF(AND(N135="",COUNTIF($N$52:$N$139,"UD")=0),"",IF(N135="BD","A",IF(N135="UD","B","C")))</f>
        <v/>
      </c>
    </row>
    <row r="136">
      <c r="C136" t="n">
        <v>85</v>
      </c>
      <c r="D136" s="38">
        <f>IF(D135=D134,D135,D134+3)</f>
        <v/>
      </c>
      <c r="F136" s="18">
        <f t="array" ref="F136">INDIRECT(ADDRESS(D136,MATCH("Die "&amp;C136,INDIRECT("A"&amp;D136+1&amp;":J"&amp;D136+1,TRUE),4),TRUE))</f>
        <v/>
      </c>
      <c r="G136" s="18">
        <f t="array" ref="G136">INDIRECT(ADDRESS(D136+2,MATCH("Die "&amp;C136,INDIRECT("A"&amp;D136+1&amp;":J"&amp;D136+1,TRUE),4),TRUE))</f>
        <v/>
      </c>
      <c r="H136">
        <f>IF(AND(ISNUMBER(F136),F136 &gt;=$B$48,F136&lt;$E$48),1,0)</f>
        <v/>
      </c>
      <c r="I136">
        <f>IF(AND(ISNUMBER(G136),G136 &gt;= $B$48,G136&lt;$E$48),1,0)</f>
        <v/>
      </c>
      <c r="J136">
        <f>IF(AND(H136 = 1, I136 = 1),1,0)</f>
        <v/>
      </c>
      <c r="K136" s="43" t="n"/>
      <c r="N136" s="47">
        <f>IF(OR(ISNUMBER(F136),ISNUMBER(G136)),IF(AND(ISNUMBER(F136),ISNUMBER(G136),F136&gt;=$B$48,G136&gt;=$B$48,F136&lt;$E$48,G136&lt;$E$48),"BD",IF(OR(F136&gt;=$B$48/2,G136&gt;=$B$48/2),"UD","")),"")</f>
        <v/>
      </c>
      <c r="O136" s="43" t="n"/>
      <c r="AA136" s="47">
        <f>IF(AND(N136="",COUNTIF($N$52:$N$139,"UD")=0),"",IF(N136="BD","A",IF(N136="UD","B","C")))</f>
        <v/>
      </c>
    </row>
    <row r="137">
      <c r="C137" t="n">
        <v>86</v>
      </c>
      <c r="D137" s="38">
        <f>IF(D136=D135,D136,D135+3)</f>
        <v/>
      </c>
      <c r="F137" s="18">
        <f t="array" ref="F137">INDIRECT(ADDRESS(D137,MATCH("Die "&amp;C137,INDIRECT("A"&amp;D137+1&amp;":J"&amp;D137+1,TRUE),4),TRUE))</f>
        <v/>
      </c>
      <c r="G137" s="18">
        <f t="array" ref="G137">INDIRECT(ADDRESS(D137+2,MATCH("Die "&amp;C137,INDIRECT("A"&amp;D137+1&amp;":J"&amp;D137+1,TRUE),4),TRUE))</f>
        <v/>
      </c>
      <c r="H137">
        <f>IF(AND(ISNUMBER(F137),F137 &gt;=$B$48,F137&lt;$E$48),1,0)</f>
        <v/>
      </c>
      <c r="I137">
        <f>IF(AND(ISNUMBER(G137),G137 &gt;= $B$48,G137&lt;$E$48),1,0)</f>
        <v/>
      </c>
      <c r="J137">
        <f>IF(AND(H137 = 1, I137 = 1),1,0)</f>
        <v/>
      </c>
      <c r="K137" s="43" t="n"/>
      <c r="N137" s="47">
        <f>IF(OR(ISNUMBER(F137),ISNUMBER(G137)),IF(AND(ISNUMBER(F137),ISNUMBER(G137),F137&gt;=$B$48,G137&gt;=$B$48,F137&lt;$E$48,G137&lt;$E$48),"BD",IF(OR(F137&gt;=$B$48/2,G137&gt;=$B$48/2),"UD","")),"")</f>
        <v/>
      </c>
      <c r="O137" s="43" t="n"/>
      <c r="AA137" s="47">
        <f>IF(AND(N137="",COUNTIF($N$52:$N$139,"UD")=0),"",IF(N137="BD","A",IF(N137="UD","B","C")))</f>
        <v/>
      </c>
    </row>
    <row r="138">
      <c r="C138" t="n">
        <v>87</v>
      </c>
      <c r="D138" s="38">
        <f>IF(D137=D136,D137,D136+3)</f>
        <v/>
      </c>
      <c r="F138" s="18">
        <f t="array" ref="F138">INDIRECT(ADDRESS(D138,MATCH("Die "&amp;C138,INDIRECT("A"&amp;D138+1&amp;":J"&amp;D138+1,TRUE),4),TRUE))</f>
        <v/>
      </c>
      <c r="G138" s="18">
        <f t="array" ref="G138">INDIRECT(ADDRESS(D138+2,MATCH("Die "&amp;C138,INDIRECT("A"&amp;D138+1&amp;":J"&amp;D138+1,TRUE),4),TRUE))</f>
        <v/>
      </c>
      <c r="H138">
        <f>IF(AND(ISNUMBER(F138),F138 &gt;=$B$48,F138&lt;$E$48),1,0)</f>
        <v/>
      </c>
      <c r="I138">
        <f>IF(AND(ISNUMBER(G138),G138 &gt;= $B$48,G138&lt;$E$48),1,0)</f>
        <v/>
      </c>
      <c r="J138">
        <f>IF(AND(H138 = 1, I138 = 1),1,0)</f>
        <v/>
      </c>
      <c r="K138" s="43" t="n"/>
      <c r="N138" s="47">
        <f>IF(OR(ISNUMBER(F138),ISNUMBER(G138)),IF(AND(ISNUMBER(F138),ISNUMBER(G138),F138&gt;=$B$48,G138&gt;=$B$48,F138&lt;$E$48,G138&lt;$E$48),"BD",IF(OR(F138&gt;=$B$48/2,G138&gt;=$B$48/2),"UD","")),"")</f>
        <v/>
      </c>
      <c r="O138" s="43" t="n"/>
      <c r="AA138" s="47">
        <f>IF(AND(N138="",COUNTIF($N$52:$N$139,"UD")=0),"",IF(N138="BD","A",IF(N138="UD","B","C")))</f>
        <v/>
      </c>
    </row>
    <row r="139">
      <c r="C139" s="20" t="n">
        <v>88</v>
      </c>
      <c r="D139" s="44">
        <f>IF(D138=D137,D138,D137+3)</f>
        <v/>
      </c>
      <c r="E139" s="20" t="n"/>
      <c r="F139" s="18">
        <f t="array" ref="F139">INDIRECT(ADDRESS(D139,MATCH("Die "&amp;C139,INDIRECT("A"&amp;D139+1&amp;":J"&amp;D139+1,TRUE),4),TRUE))</f>
        <v/>
      </c>
      <c r="G139" s="18">
        <f t="array" ref="G139">INDIRECT(ADDRESS(D139+2,MATCH("Die "&amp;C139,INDIRECT("A"&amp;D139+1&amp;":J"&amp;D139+1,TRUE),4),TRUE))</f>
        <v/>
      </c>
      <c r="H139" s="20">
        <f>IF(AND(ISNUMBER(F139),F139 &gt;=$B$48,F139&lt;$E$48),1,0)</f>
        <v/>
      </c>
      <c r="I139" s="20">
        <f>IF(AND(ISNUMBER(G139),G139 &gt;= $B$48,G139&lt;$E$48),1,0)</f>
        <v/>
      </c>
      <c r="J139" s="20">
        <f>IF(AND(H139 = 1, I139 = 1),1,0)</f>
        <v/>
      </c>
      <c r="K139" s="43" t="n"/>
      <c r="N139" s="47">
        <f>IF(OR(ISNUMBER(F139),ISNUMBER(G139)),IF(AND(ISNUMBER(F139),ISNUMBER(G139),F139&gt;=$B$48,G139&gt;=$B$48,F139&lt;$E$48,G139&lt;$E$48),"BD",IF(OR(F139&gt;=$B$48/2,G139&gt;=$B$48/2),"UD","")),"")</f>
        <v/>
      </c>
      <c r="O139" s="43" t="n"/>
      <c r="AA139" s="47">
        <f>IF(AND(N139="",COUNTIF($N$52:$N$139,"UD")=0),"",IF(N139="BD","A",IF(N139="UD","B","C")))</f>
        <v/>
      </c>
    </row>
    <row r="140">
      <c r="H140">
        <f>SUM(H52:H139)*100/88</f>
        <v/>
      </c>
      <c r="I140">
        <f>SUM(I52:I139)*100/88</f>
        <v/>
      </c>
      <c r="J140">
        <f>SUM(J52:J139)*100/88</f>
        <v/>
      </c>
    </row>
  </sheetData>
  <mergeCells count="105">
    <mergeCell ref="N15:N26"/>
    <mergeCell ref="T6:T8"/>
    <mergeCell ref="O12:O14"/>
    <mergeCell ref="Q6:Q8"/>
    <mergeCell ref="O21:O23"/>
    <mergeCell ref="Q15:Q17"/>
    <mergeCell ref="S15:S17"/>
    <mergeCell ref="S24:S26"/>
    <mergeCell ref="P12:P14"/>
    <mergeCell ref="P30:P32"/>
    <mergeCell ref="Y15:Y26"/>
    <mergeCell ref="T30:T32"/>
    <mergeCell ref="O33:O35"/>
    <mergeCell ref="D4:E4"/>
    <mergeCell ref="Q33:Q35"/>
    <mergeCell ref="S27:S29"/>
    <mergeCell ref="U27:U29"/>
    <mergeCell ref="R12:R14"/>
    <mergeCell ref="T12:T14"/>
    <mergeCell ref="R21:R23"/>
    <mergeCell ref="V6:V8"/>
    <mergeCell ref="T21:T23"/>
    <mergeCell ref="V15:V17"/>
    <mergeCell ref="X15:X17"/>
    <mergeCell ref="S6:S8"/>
    <mergeCell ref="Q9:Q11"/>
    <mergeCell ref="S9:S11"/>
    <mergeCell ref="U12:U14"/>
    <mergeCell ref="Q30:Q32"/>
    <mergeCell ref="W12:W14"/>
    <mergeCell ref="U21:U23"/>
    <mergeCell ref="S30:S32"/>
    <mergeCell ref="W21:W23"/>
    <mergeCell ref="W9:W11"/>
    <mergeCell ref="P18:P20"/>
    <mergeCell ref="R18:R20"/>
    <mergeCell ref="T27:T29"/>
    <mergeCell ref="T33:T35"/>
    <mergeCell ref="V33:V35"/>
    <mergeCell ref="X27:X29"/>
    <mergeCell ref="O15:O17"/>
    <mergeCell ref="W24:W26"/>
    <mergeCell ref="O24:O26"/>
    <mergeCell ref="Q24:Q26"/>
    <mergeCell ref="D3:H3"/>
    <mergeCell ref="X6:X8"/>
    <mergeCell ref="T9:T11"/>
    <mergeCell ref="V9:V11"/>
    <mergeCell ref="P21:P23"/>
    <mergeCell ref="R15:R17"/>
    <mergeCell ref="V30:V32"/>
    <mergeCell ref="U18:U20"/>
    <mergeCell ref="W18:W20"/>
    <mergeCell ref="O27:O29"/>
    <mergeCell ref="Q27:Q29"/>
    <mergeCell ref="R33:R35"/>
    <mergeCell ref="T15:T17"/>
    <mergeCell ref="B1:F1"/>
    <mergeCell ref="R37:U38"/>
    <mergeCell ref="T24:T26"/>
    <mergeCell ref="O6:O8"/>
    <mergeCell ref="T18:T20"/>
    <mergeCell ref="V18:V20"/>
    <mergeCell ref="Q12:Q14"/>
    <mergeCell ref="S12:S14"/>
    <mergeCell ref="Q21:Q23"/>
    <mergeCell ref="U6:U8"/>
    <mergeCell ref="S21:S23"/>
    <mergeCell ref="U15:U17"/>
    <mergeCell ref="W15:W17"/>
    <mergeCell ref="R6:R8"/>
    <mergeCell ref="P9:P11"/>
    <mergeCell ref="P27:P29"/>
    <mergeCell ref="X18:X20"/>
    <mergeCell ref="R36:U36"/>
    <mergeCell ref="A43:B43"/>
    <mergeCell ref="R30:R32"/>
    <mergeCell ref="V27:V29"/>
    <mergeCell ref="U24:U26"/>
    <mergeCell ref="S33:S35"/>
    <mergeCell ref="U33:U35"/>
    <mergeCell ref="W27:W29"/>
    <mergeCell ref="D36:G37"/>
    <mergeCell ref="K15:K26"/>
    <mergeCell ref="R9:R11"/>
    <mergeCell ref="R5:U5"/>
    <mergeCell ref="V12:V14"/>
    <mergeCell ref="X12:X14"/>
    <mergeCell ref="P15:P17"/>
    <mergeCell ref="V21:V23"/>
    <mergeCell ref="P24:P26"/>
    <mergeCell ref="X21:X23"/>
    <mergeCell ref="O18:O20"/>
    <mergeCell ref="Q18:Q20"/>
    <mergeCell ref="U9:U11"/>
    <mergeCell ref="S18:S20"/>
    <mergeCell ref="U30:U32"/>
    <mergeCell ref="W30:W32"/>
    <mergeCell ref="F4:H4"/>
    <mergeCell ref="R24:R26"/>
    <mergeCell ref="V24:V26"/>
    <mergeCell ref="A44:B44"/>
    <mergeCell ref="X24:X26"/>
    <mergeCell ref="R27:R29"/>
    <mergeCell ref="X33:X35"/>
  </mergeCells>
  <conditionalFormatting sqref="A43:D43">
    <cfRule type="expression" priority="1" dxfId="189">
      <formula>ISBLANK($K$52)</formula>
    </cfRule>
  </conditionalFormatting>
  <conditionalFormatting sqref="A44:D44">
    <cfRule type="expression" priority="2" dxfId="189">
      <formula>ISBLANK($L$52)</formula>
    </cfRule>
  </conditionalFormatting>
  <conditionalFormatting sqref="A12:J12 A15:J15 A18:J18 A21:J21 A24:J24 A27:J27 B9:I9 B30:I30 B32:I32 C6:H6 C33:H33">
    <cfRule type="cellIs" priority="240" operator="between" dxfId="188">
      <formula>0</formula>
      <formula>10</formula>
    </cfRule>
    <cfRule type="cellIs" priority="241" operator="between" dxfId="187">
      <formula>10</formula>
      <formula>30</formula>
    </cfRule>
    <cfRule type="cellIs" priority="242" operator="between" dxfId="186">
      <formula>30</formula>
      <formula>100</formula>
    </cfRule>
  </conditionalFormatting>
  <conditionalFormatting sqref="A12:J12 A14:J15 A17:J18 A20:J21 A23:J24 A26:J27 A29:J29 B9:I9 B11:I11 B30:I30 B32:I32 C6:H6 C8:H8 C33:H33 C35:H35">
    <cfRule type="cellIs" priority="7" operator="greaterThanOrEqual" dxfId="185">
      <formula>$E$48</formula>
    </cfRule>
    <cfRule type="containsText" priority="230" operator="containsText" dxfId="183" text="open">
      <formula>NOT(ISERROR(SEARCH("open",A6)))</formula>
    </cfRule>
    <cfRule type="containsText" priority="233" operator="containsText" dxfId="183" text="short">
      <formula>NOT(ISERROR(SEARCH("short",A6)))</formula>
    </cfRule>
  </conditionalFormatting>
  <conditionalFormatting sqref="A14:J14 A17:J17 A20:J20 A23:J23 A26:J26 A29:J29 B11:I11 B32:I32 C8:H8 C35:H35">
    <cfRule type="cellIs" priority="234" operator="between" dxfId="182">
      <formula>0</formula>
      <formula>10</formula>
    </cfRule>
    <cfRule type="cellIs" priority="235" operator="between" dxfId="181">
      <formula>10</formula>
      <formula>30</formula>
    </cfRule>
    <cfRule type="cellIs" priority="236" operator="between" dxfId="180">
      <formula>30</formula>
      <formula>100</formula>
    </cfRule>
  </conditionalFormatting>
  <conditionalFormatting sqref="F52:F139">
    <cfRule type="expression" priority="8" dxfId="178">
      <formula>$B$55=QUOTIENT($F52,1)</formula>
    </cfRule>
  </conditionalFormatting>
  <conditionalFormatting sqref="G52:G139">
    <cfRule type="expression" priority="9" dxfId="178">
      <formula>$B$55=QUOTIENT($G52,1)</formula>
    </cfRule>
  </conditionalFormatting>
  <conditionalFormatting sqref="O12">
    <cfRule type="expression" priority="166" dxfId="1">
      <formula>$N$66="BD"</formula>
    </cfRule>
    <cfRule type="expression" priority="167" dxfId="0">
      <formula>$N$66="UD"</formula>
    </cfRule>
  </conditionalFormatting>
  <conditionalFormatting sqref="O15">
    <cfRule type="expression" priority="138" dxfId="1">
      <formula>$N$76="BD"</formula>
    </cfRule>
    <cfRule type="expression" priority="139" dxfId="0">
      <formula>$N$76="UD"</formula>
    </cfRule>
  </conditionalFormatting>
  <conditionalFormatting sqref="O18">
    <cfRule type="expression" priority="117" dxfId="0">
      <formula>$N$86="UD"</formula>
    </cfRule>
    <cfRule type="expression" priority="116" dxfId="1">
      <formula>$N$86="BD"</formula>
    </cfRule>
  </conditionalFormatting>
  <conditionalFormatting sqref="O21">
    <cfRule type="expression" priority="96" dxfId="1">
      <formula>$N$96="BD"</formula>
    </cfRule>
    <cfRule type="expression" priority="97" dxfId="0">
      <formula>$N$96="UD"</formula>
    </cfRule>
  </conditionalFormatting>
  <conditionalFormatting sqref="O24">
    <cfRule type="expression" priority="76" dxfId="1">
      <formula>$N$106="BD"</formula>
    </cfRule>
    <cfRule type="expression" priority="77" dxfId="0">
      <formula>$N$106="UD"</formula>
    </cfRule>
  </conditionalFormatting>
  <conditionalFormatting sqref="O27">
    <cfRule type="expression" priority="57" dxfId="0">
      <formula>$N$116="UD"</formula>
    </cfRule>
    <cfRule type="expression" priority="56" dxfId="1">
      <formula>$N$116="BD"</formula>
    </cfRule>
  </conditionalFormatting>
  <conditionalFormatting sqref="P9">
    <cfRule type="expression" priority="184" dxfId="0">
      <formula>$N$58="UD"</formula>
    </cfRule>
    <cfRule type="expression" priority="183" dxfId="1">
      <formula>$N$58="BD"</formula>
    </cfRule>
  </conditionalFormatting>
  <conditionalFormatting sqref="P12">
    <cfRule type="expression" priority="164" dxfId="1">
      <formula>$N$67="BD"</formula>
    </cfRule>
    <cfRule type="expression" priority="165" dxfId="0">
      <formula>$N$67="UD"</formula>
    </cfRule>
  </conditionalFormatting>
  <conditionalFormatting sqref="P15">
    <cfRule type="expression" priority="136" dxfId="1">
      <formula>$N$77="BD"</formula>
    </cfRule>
    <cfRule type="expression" priority="137" dxfId="0">
      <formula>$N$77="UD"</formula>
    </cfRule>
  </conditionalFormatting>
  <conditionalFormatting sqref="P18">
    <cfRule type="expression" priority="114" dxfId="1">
      <formula>$N$87="BD"</formula>
    </cfRule>
    <cfRule type="expression" priority="115" dxfId="0">
      <formula>$N$87="UD"</formula>
    </cfRule>
  </conditionalFormatting>
  <conditionalFormatting sqref="P21">
    <cfRule type="expression" priority="95" dxfId="0">
      <formula>$N$97="UD"</formula>
    </cfRule>
    <cfRule type="expression" priority="94" dxfId="1">
      <formula>$N$97="BD"</formula>
    </cfRule>
  </conditionalFormatting>
  <conditionalFormatting sqref="P24">
    <cfRule type="expression" priority="74" dxfId="1">
      <formula>$N$107="BD"</formula>
    </cfRule>
    <cfRule type="expression" priority="75" dxfId="0">
      <formula>$N$107="UD"</formula>
    </cfRule>
  </conditionalFormatting>
  <conditionalFormatting sqref="P27">
    <cfRule type="expression" priority="55" dxfId="0">
      <formula>$N$117="UD"</formula>
    </cfRule>
    <cfRule type="expression" priority="54" dxfId="1">
      <formula>$N$117="BD"</formula>
    </cfRule>
  </conditionalFormatting>
  <conditionalFormatting sqref="P30">
    <cfRule type="expression" priority="36" dxfId="1">
      <formula>$N$126="BD"</formula>
    </cfRule>
    <cfRule type="expression" priority="37" dxfId="0">
      <formula>$N$126="UD"</formula>
    </cfRule>
  </conditionalFormatting>
  <conditionalFormatting sqref="Q6">
    <cfRule type="expression" priority="206" dxfId="1">
      <formula>$N$52="BD"</formula>
    </cfRule>
    <cfRule type="expression" priority="207" dxfId="0">
      <formula>$N$52="UD"</formula>
    </cfRule>
  </conditionalFormatting>
  <conditionalFormatting sqref="Q9">
    <cfRule type="expression" priority="182" dxfId="0">
      <formula>$N$59="UD"</formula>
    </cfRule>
    <cfRule type="expression" priority="181" dxfId="1">
      <formula>$N$59="BD"</formula>
    </cfRule>
  </conditionalFormatting>
  <conditionalFormatting sqref="Q12">
    <cfRule type="expression" priority="163" dxfId="0">
      <formula>$N$68="UD"</formula>
    </cfRule>
    <cfRule type="expression" priority="162" dxfId="1">
      <formula>$N$68="BD"</formula>
    </cfRule>
    <cfRule type="expression" priority="161" dxfId="0">
      <formula>$N$68="UD"</formula>
    </cfRule>
    <cfRule type="expression" priority="160" dxfId="1">
      <formula>$N$68="BD"</formula>
    </cfRule>
  </conditionalFormatting>
  <conditionalFormatting sqref="Q15">
    <cfRule type="expression" priority="134" dxfId="1">
      <formula>$N$78="BD"</formula>
    </cfRule>
    <cfRule type="expression" priority="135" dxfId="0">
      <formula>$N$78="UD"</formula>
    </cfRule>
  </conditionalFormatting>
  <conditionalFormatting sqref="Q18">
    <cfRule type="expression" priority="112" dxfId="1">
      <formula>$N$88="BD"</formula>
    </cfRule>
    <cfRule type="expression" priority="113" dxfId="0">
      <formula>$N$88="UD"</formula>
    </cfRule>
  </conditionalFormatting>
  <conditionalFormatting sqref="Q21">
    <cfRule type="expression" priority="93" dxfId="0">
      <formula>$N$98="UD"</formula>
    </cfRule>
    <cfRule type="expression" priority="92" dxfId="1">
      <formula>$N$98="BD"</formula>
    </cfRule>
  </conditionalFormatting>
  <conditionalFormatting sqref="Q24">
    <cfRule type="expression" priority="73" dxfId="0">
      <formula>$N$108="UD"</formula>
    </cfRule>
    <cfRule type="expression" priority="72" dxfId="1">
      <formula>$N$108="BD"</formula>
    </cfRule>
  </conditionalFormatting>
  <conditionalFormatting sqref="Q27">
    <cfRule type="expression" priority="52" dxfId="1">
      <formula>$N$118="BD"</formula>
    </cfRule>
    <cfRule type="expression" priority="53" dxfId="0">
      <formula>$N$118="UD"</formula>
    </cfRule>
  </conditionalFormatting>
  <conditionalFormatting sqref="Q30">
    <cfRule type="expression" priority="35" dxfId="0">
      <formula>$N$127="UD"</formula>
    </cfRule>
    <cfRule type="expression" priority="34" dxfId="1">
      <formula>$N$127="BD"</formula>
    </cfRule>
  </conditionalFormatting>
  <conditionalFormatting sqref="Q33">
    <cfRule type="expression" priority="20" dxfId="1">
      <formula>$N$134="BD"</formula>
    </cfRule>
    <cfRule type="expression" priority="21" dxfId="0">
      <formula>$N$134="UD"</formula>
    </cfRule>
  </conditionalFormatting>
  <conditionalFormatting sqref="R6">
    <cfRule type="expression" priority="193" dxfId="1">
      <formula>$N$53="BD"</formula>
    </cfRule>
    <cfRule type="expression" priority="194" dxfId="0">
      <formula>$N$53="UD"</formula>
    </cfRule>
  </conditionalFormatting>
  <conditionalFormatting sqref="R9">
    <cfRule type="expression" priority="180" dxfId="0">
      <formula>$N$60="UD"</formula>
    </cfRule>
    <cfRule type="expression" priority="179" dxfId="1">
      <formula>$N$60="BD"</formula>
    </cfRule>
  </conditionalFormatting>
  <conditionalFormatting sqref="R12">
    <cfRule type="expression" priority="159" dxfId="0">
      <formula>$N$69="UD"</formula>
    </cfRule>
    <cfRule type="expression" priority="158" dxfId="1">
      <formula>$N$69="BD"</formula>
    </cfRule>
  </conditionalFormatting>
  <conditionalFormatting sqref="R15">
    <cfRule type="expression" priority="130" dxfId="1">
      <formula>$N$79="BD"</formula>
    </cfRule>
    <cfRule type="expression" priority="131" dxfId="0">
      <formula>$N$79="UD"</formula>
    </cfRule>
  </conditionalFormatting>
  <conditionalFormatting sqref="R18">
    <cfRule type="expression" priority="111" dxfId="0">
      <formula>$N$89="UD"</formula>
    </cfRule>
    <cfRule type="expression" priority="110" dxfId="1">
      <formula>$N$89="BD"</formula>
    </cfRule>
  </conditionalFormatting>
  <conditionalFormatting sqref="R21">
    <cfRule type="expression" priority="91" dxfId="0">
      <formula>$N$99="UD"</formula>
    </cfRule>
    <cfRule type="expression" priority="90" dxfId="1">
      <formula>$N$99="BD"</formula>
    </cfRule>
  </conditionalFormatting>
  <conditionalFormatting sqref="R24">
    <cfRule type="expression" priority="70" dxfId="1">
      <formula>$N$109="BD"</formula>
    </cfRule>
    <cfRule type="expression" priority="71" dxfId="0">
      <formula>$N$109="UD"</formula>
    </cfRule>
  </conditionalFormatting>
  <conditionalFormatting sqref="R27">
    <cfRule type="expression" priority="51" dxfId="0">
      <formula>$N$119="UD"</formula>
    </cfRule>
    <cfRule type="expression" priority="50" dxfId="1">
      <formula>$N$119="BD"</formula>
    </cfRule>
  </conditionalFormatting>
  <conditionalFormatting sqref="R30">
    <cfRule type="expression" priority="32" dxfId="1">
      <formula>$N$128="BD"</formula>
    </cfRule>
    <cfRule type="expression" priority="33" dxfId="0">
      <formula>$N$128="UD"</formula>
    </cfRule>
  </conditionalFormatting>
  <conditionalFormatting sqref="R33">
    <cfRule type="expression" priority="18" dxfId="1">
      <formula>$N$135="BD"</formula>
    </cfRule>
    <cfRule type="expression" priority="19" dxfId="0">
      <formula>$N$135="UD"</formula>
    </cfRule>
  </conditionalFormatting>
  <conditionalFormatting sqref="S6">
    <cfRule type="expression" priority="192" dxfId="0">
      <formula>$N$54="UD"</formula>
    </cfRule>
    <cfRule type="expression" priority="191" dxfId="1">
      <formula>$N$54="BD"</formula>
    </cfRule>
  </conditionalFormatting>
  <conditionalFormatting sqref="S9">
    <cfRule type="expression" priority="178" dxfId="0">
      <formula>$N$61="UD"</formula>
    </cfRule>
    <cfRule type="expression" priority="177" dxfId="1">
      <formula>$N$61="BD"</formula>
    </cfRule>
  </conditionalFormatting>
  <conditionalFormatting sqref="S12">
    <cfRule type="expression" priority="157" dxfId="0">
      <formula>$N$70="UD"</formula>
    </cfRule>
    <cfRule type="expression" priority="156" dxfId="1">
      <formula>$N$70="BD"</formula>
    </cfRule>
  </conditionalFormatting>
  <conditionalFormatting sqref="S15">
    <cfRule type="expression" priority="128" dxfId="1">
      <formula>$N$80="BD"</formula>
    </cfRule>
    <cfRule type="expression" priority="129" dxfId="0">
      <formula>$N$80="UD"</formula>
    </cfRule>
  </conditionalFormatting>
  <conditionalFormatting sqref="S18">
    <cfRule type="expression" priority="108" dxfId="1">
      <formula>$N$90="BD"</formula>
    </cfRule>
    <cfRule type="expression" priority="109" dxfId="0">
      <formula>$N$90="UD"</formula>
    </cfRule>
  </conditionalFormatting>
  <conditionalFormatting sqref="S21">
    <cfRule type="expression" priority="89" dxfId="0">
      <formula>$N$100="UD"</formula>
    </cfRule>
    <cfRule type="expression" priority="88" dxfId="1">
      <formula>$N$100="BD"</formula>
    </cfRule>
  </conditionalFormatting>
  <conditionalFormatting sqref="S24">
    <cfRule type="expression" priority="69" dxfId="0">
      <formula>$N$110="UD"</formula>
    </cfRule>
    <cfRule type="expression" priority="68" dxfId="1">
      <formula>$N$110="BD"</formula>
    </cfRule>
  </conditionalFormatting>
  <conditionalFormatting sqref="S27">
    <cfRule type="expression" priority="49" dxfId="0">
      <formula>$N$120="UD"</formula>
    </cfRule>
    <cfRule type="expression" priority="48" dxfId="1">
      <formula>$N$120="BD"</formula>
    </cfRule>
  </conditionalFormatting>
  <conditionalFormatting sqref="S30">
    <cfRule type="expression" priority="30" dxfId="1">
      <formula>$N$129="BD"</formula>
    </cfRule>
    <cfRule type="expression" priority="31" dxfId="0">
      <formula>$N$129="UD"</formula>
    </cfRule>
  </conditionalFormatting>
  <conditionalFormatting sqref="S33">
    <cfRule type="expression" priority="17" dxfId="0">
      <formula>$N$136="UD"</formula>
    </cfRule>
    <cfRule type="expression" priority="16" dxfId="1">
      <formula>$N$136="BD"</formula>
    </cfRule>
  </conditionalFormatting>
  <conditionalFormatting sqref="T6">
    <cfRule type="expression" priority="189" dxfId="1">
      <formula>$N$55="BD"</formula>
    </cfRule>
    <cfRule type="expression" priority="190" dxfId="0">
      <formula>$N$55="UD"</formula>
    </cfRule>
  </conditionalFormatting>
  <conditionalFormatting sqref="T9">
    <cfRule type="expression" priority="175" dxfId="0">
      <formula>$N$62="UD"</formula>
    </cfRule>
    <cfRule type="expression" priority="174" dxfId="1">
      <formula>$N$62="BD"</formula>
    </cfRule>
  </conditionalFormatting>
  <conditionalFormatting sqref="T12">
    <cfRule type="expression" priority="155" dxfId="0">
      <formula>$N$71="UD"</formula>
    </cfRule>
    <cfRule type="expression" priority="154" dxfId="1">
      <formula>$N$71="BD"</formula>
    </cfRule>
  </conditionalFormatting>
  <conditionalFormatting sqref="T15">
    <cfRule type="expression" priority="126" dxfId="1">
      <formula>$N$81="BD"</formula>
    </cfRule>
    <cfRule type="expression" priority="127" dxfId="0">
      <formula>$N$81="UD"</formula>
    </cfRule>
  </conditionalFormatting>
  <conditionalFormatting sqref="T18">
    <cfRule type="expression" priority="107" dxfId="0">
      <formula>$N$91="UD"</formula>
    </cfRule>
    <cfRule type="expression" priority="106" dxfId="1">
      <formula>$N$91="BD"</formula>
    </cfRule>
  </conditionalFormatting>
  <conditionalFormatting sqref="T21">
    <cfRule type="expression" priority="86" dxfId="1">
      <formula>$N$101="BD"</formula>
    </cfRule>
    <cfRule type="expression" priority="87" dxfId="0">
      <formula>$N$101="UD"</formula>
    </cfRule>
  </conditionalFormatting>
  <conditionalFormatting sqref="T24">
    <cfRule type="expression" priority="66" dxfId="1">
      <formula>$N$111="BD"</formula>
    </cfRule>
    <cfRule type="expression" priority="67" dxfId="0">
      <formula>$N$111="UD"</formula>
    </cfRule>
  </conditionalFormatting>
  <conditionalFormatting sqref="T27">
    <cfRule type="expression" priority="47" dxfId="0">
      <formula>$N$121="UD"</formula>
    </cfRule>
    <cfRule type="expression" priority="46" dxfId="1">
      <formula>$N$121="BD"</formula>
    </cfRule>
  </conditionalFormatting>
  <conditionalFormatting sqref="T30">
    <cfRule type="expression" priority="28" dxfId="1">
      <formula>$N$130="BD"</formula>
    </cfRule>
    <cfRule type="expression" priority="29" dxfId="0">
      <formula>$N$130="UD"</formula>
    </cfRule>
  </conditionalFormatting>
  <conditionalFormatting sqref="T33">
    <cfRule type="expression" priority="14" dxfId="1">
      <formula>$N$137="BD"</formula>
    </cfRule>
    <cfRule type="expression" priority="15" dxfId="0">
      <formula>$N$137="UD"</formula>
    </cfRule>
  </conditionalFormatting>
  <conditionalFormatting sqref="U6">
    <cfRule type="expression" priority="188" dxfId="0">
      <formula>$N$56="UD"</formula>
    </cfRule>
    <cfRule type="expression" priority="187" dxfId="1">
      <formula>$N$56="BD"</formula>
    </cfRule>
  </conditionalFormatting>
  <conditionalFormatting sqref="U9">
    <cfRule type="expression" priority="173" dxfId="0">
      <formula>$N$63="UD"</formula>
    </cfRule>
    <cfRule type="expression" priority="172" dxfId="1">
      <formula>$N$63="BD"</formula>
    </cfRule>
  </conditionalFormatting>
  <conditionalFormatting sqref="U12">
    <cfRule type="expression" priority="147" dxfId="0">
      <formula>$N$72="UD"</formula>
    </cfRule>
    <cfRule type="expression" priority="146" dxfId="1">
      <formula>$N$72="BD"</formula>
    </cfRule>
  </conditionalFormatting>
  <conditionalFormatting sqref="U15">
    <cfRule type="expression" priority="125" dxfId="0">
      <formula>$N$82="UD"</formula>
    </cfRule>
    <cfRule type="expression" priority="124" dxfId="1">
      <formula>$N$82="BD"</formula>
    </cfRule>
  </conditionalFormatting>
  <conditionalFormatting sqref="U18">
    <cfRule type="expression" priority="105" dxfId="0">
      <formula>$N$92="UD"</formula>
    </cfRule>
    <cfRule type="expression" priority="104" dxfId="1">
      <formula>$N$92="BD"</formula>
    </cfRule>
  </conditionalFormatting>
  <conditionalFormatting sqref="U21">
    <cfRule type="expression" priority="85" dxfId="0">
      <formula>$N$102="UD"</formula>
    </cfRule>
    <cfRule type="expression" priority="84" dxfId="1">
      <formula>$N$102="BD"</formula>
    </cfRule>
  </conditionalFormatting>
  <conditionalFormatting sqref="U24">
    <cfRule type="expression" priority="65" dxfId="0">
      <formula>$N$112="UD"</formula>
    </cfRule>
    <cfRule type="expression" priority="64" dxfId="1">
      <formula>$N$112="BD"</formula>
    </cfRule>
  </conditionalFormatting>
  <conditionalFormatting sqref="U27">
    <cfRule type="expression" priority="45" dxfId="0">
      <formula>$N$122="UD"</formula>
    </cfRule>
    <cfRule type="expression" priority="44" dxfId="1">
      <formula>$N$122="BD"</formula>
    </cfRule>
  </conditionalFormatting>
  <conditionalFormatting sqref="U30">
    <cfRule type="expression" priority="26" dxfId="1">
      <formula>$N$131="BD"</formula>
    </cfRule>
    <cfRule type="expression" priority="27" dxfId="0">
      <formula>$N$131="UD"</formula>
    </cfRule>
  </conditionalFormatting>
  <conditionalFormatting sqref="U33">
    <cfRule type="expression" priority="13" dxfId="0">
      <formula>$N$138="UD"</formula>
    </cfRule>
    <cfRule type="expression" priority="12" dxfId="1">
      <formula>$N$138="BD"</formula>
    </cfRule>
  </conditionalFormatting>
  <conditionalFormatting sqref="V6">
    <cfRule type="expression" priority="186" dxfId="0">
      <formula>$N$57="UD"</formula>
    </cfRule>
    <cfRule type="expression" priority="185" dxfId="1">
      <formula>$N$57="BD"</formula>
    </cfRule>
  </conditionalFormatting>
  <conditionalFormatting sqref="V9">
    <cfRule type="expression" priority="170" dxfId="1">
      <formula>$N$64="BD"</formula>
    </cfRule>
    <cfRule type="expression" priority="171" dxfId="0">
      <formula>$N$64="UD"</formula>
    </cfRule>
  </conditionalFormatting>
  <conditionalFormatting sqref="V12">
    <cfRule type="expression" priority="144" dxfId="1">
      <formula>$N$73="BD"</formula>
    </cfRule>
    <cfRule type="expression" priority="145" dxfId="0">
      <formula>$N$73="UD"</formula>
    </cfRule>
  </conditionalFormatting>
  <conditionalFormatting sqref="V15">
    <cfRule type="expression" priority="122" dxfId="1">
      <formula>$N$83="BD"</formula>
    </cfRule>
    <cfRule type="expression" priority="123" dxfId="0">
      <formula>$N$83="UD"</formula>
    </cfRule>
  </conditionalFormatting>
  <conditionalFormatting sqref="V18">
    <cfRule type="expression" priority="103" dxfId="0">
      <formula>$N$93="UD"</formula>
    </cfRule>
    <cfRule type="expression" priority="102" dxfId="1">
      <formula>$N$93="BD"</formula>
    </cfRule>
  </conditionalFormatting>
  <conditionalFormatting sqref="V21">
    <cfRule type="expression" priority="82" dxfId="1">
      <formula>$N$103="BD"</formula>
    </cfRule>
    <cfRule type="expression" priority="83" dxfId="0">
      <formula>$N$103="UD"</formula>
    </cfRule>
  </conditionalFormatting>
  <conditionalFormatting sqref="V24">
    <cfRule type="expression" priority="63" dxfId="0">
      <formula>$N$113="UD"</formula>
    </cfRule>
    <cfRule type="expression" priority="62" dxfId="1">
      <formula>$N$113="BD"</formula>
    </cfRule>
  </conditionalFormatting>
  <conditionalFormatting sqref="V27">
    <cfRule type="expression" priority="43" dxfId="0">
      <formula>$N$123="UD"</formula>
    </cfRule>
    <cfRule type="expression" priority="42" dxfId="1">
      <formula>$N$123="BD"</formula>
    </cfRule>
  </conditionalFormatting>
  <conditionalFormatting sqref="V30">
    <cfRule type="expression" priority="24" dxfId="1">
      <formula>$N$132="BD"</formula>
    </cfRule>
    <cfRule type="expression" priority="25" dxfId="0">
      <formula>$N$132="UD"</formula>
    </cfRule>
  </conditionalFormatting>
  <conditionalFormatting sqref="V33">
    <cfRule type="expression" priority="10" dxfId="1">
      <formula>$N$139="BD"</formula>
    </cfRule>
    <cfRule type="expression" priority="11" dxfId="0">
      <formula>$N$139="UD"</formula>
    </cfRule>
  </conditionalFormatting>
  <conditionalFormatting sqref="W9">
    <cfRule type="expression" priority="168" dxfId="1">
      <formula>$N$65="BD"</formula>
    </cfRule>
    <cfRule type="expression" priority="169" dxfId="0">
      <formula>$N$65="UD"</formula>
    </cfRule>
  </conditionalFormatting>
  <conditionalFormatting sqref="W12">
    <cfRule type="expression" priority="142" dxfId="1">
      <formula>$N$74="BD"</formula>
    </cfRule>
    <cfRule type="expression" priority="143" dxfId="0">
      <formula>$N$74="UD"</formula>
    </cfRule>
  </conditionalFormatting>
  <conditionalFormatting sqref="W15">
    <cfRule type="expression" priority="120" dxfId="1">
      <formula>$N$84="BD"</formula>
    </cfRule>
    <cfRule type="expression" priority="121" dxfId="0">
      <formula>$N$84="UD"</formula>
    </cfRule>
  </conditionalFormatting>
  <conditionalFormatting sqref="W18">
    <cfRule type="expression" priority="101" dxfId="0">
      <formula>$N$94="UD"</formula>
    </cfRule>
    <cfRule type="expression" priority="100" dxfId="1">
      <formula>$N$94="BD"</formula>
    </cfRule>
  </conditionalFormatting>
  <conditionalFormatting sqref="W21">
    <cfRule type="expression" priority="80" dxfId="1">
      <formula>$N$104="BD"</formula>
    </cfRule>
    <cfRule type="expression" priority="81" dxfId="0">
      <formula>$N$104="UD"</formula>
    </cfRule>
  </conditionalFormatting>
  <conditionalFormatting sqref="W24">
    <cfRule type="expression" priority="61" dxfId="0">
      <formula>$N$114="UD"</formula>
    </cfRule>
    <cfRule type="expression" priority="60" dxfId="1">
      <formula>$N$114="BD"</formula>
    </cfRule>
  </conditionalFormatting>
  <conditionalFormatting sqref="W27">
    <cfRule type="expression" priority="41" dxfId="0">
      <formula>$N$124="UD"</formula>
    </cfRule>
    <cfRule type="expression" priority="40" dxfId="1">
      <formula>$N$124="BD"</formula>
    </cfRule>
  </conditionalFormatting>
  <conditionalFormatting sqref="W30">
    <cfRule type="expression" priority="23" dxfId="0">
      <formula>$N$133="UD"</formula>
    </cfRule>
    <cfRule type="expression" priority="22" dxfId="1">
      <formula>$N$133="BD"</formula>
    </cfRule>
  </conditionalFormatting>
  <conditionalFormatting sqref="X12">
    <cfRule type="expression" priority="140" dxfId="1">
      <formula>$N$75="BD"</formula>
    </cfRule>
    <cfRule type="expression" priority="141" dxfId="0">
      <formula>$N$75="UD"</formula>
    </cfRule>
  </conditionalFormatting>
  <conditionalFormatting sqref="X15">
    <cfRule type="expression" priority="118" dxfId="1">
      <formula>$N$85="BD"</formula>
    </cfRule>
    <cfRule type="expression" priority="119" dxfId="0">
      <formula>$N$85="UD"</formula>
    </cfRule>
  </conditionalFormatting>
  <conditionalFormatting sqref="X18">
    <cfRule type="expression" priority="99" dxfId="0">
      <formula>$N$95="UD"</formula>
    </cfRule>
    <cfRule type="expression" priority="98" dxfId="1">
      <formula>$N$95="BD"</formula>
    </cfRule>
  </conditionalFormatting>
  <conditionalFormatting sqref="X21">
    <cfRule type="expression" priority="78" dxfId="1">
      <formula>$N$105="BD"</formula>
    </cfRule>
    <cfRule type="expression" priority="79" dxfId="0">
      <formula>$N$105="UD"</formula>
    </cfRule>
  </conditionalFormatting>
  <conditionalFormatting sqref="X24">
    <cfRule type="expression" priority="58" dxfId="1">
      <formula>$N$115="BD"</formula>
    </cfRule>
    <cfRule type="expression" priority="59" dxfId="0">
      <formula>$N$115="UD"</formula>
    </cfRule>
  </conditionalFormatting>
  <conditionalFormatting sqref="X27">
    <cfRule type="expression" priority="38" dxfId="1">
      <formula>$N$125="BD"</formula>
    </cfRule>
    <cfRule type="expression" priority="39" dxfId="0">
      <formula>$N$125="UD"</formula>
    </cfRule>
  </conditionalFormatting>
  <pageMargins left="0.25" right="0.25" top="0.75" bottom="0.75" header="0.3" footer="0.3"/>
  <pageSetup orientation="portrait" scale="93" fitToWidth="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N139"/>
  <sheetViews>
    <sheetView zoomScale="70" zoomScaleNormal="70" workbookViewId="0">
      <selection activeCell="A37" sqref="A37"/>
    </sheetView>
  </sheetViews>
  <sheetFormatPr baseColWidth="8" defaultRowHeight="14.6"/>
  <cols>
    <col width="9.3828125" bestFit="1" customWidth="1" min="2" max="2"/>
    <col hidden="1" style="52" min="14" max="14"/>
  </cols>
  <sheetData>
    <row r="1">
      <c r="A1" s="61">
        <f>A3*3</f>
        <v/>
      </c>
      <c r="B1" s="62" t="inlineStr">
        <is>
          <t>ideal *3</t>
        </is>
      </c>
    </row>
    <row r="2">
      <c r="A2" s="61">
        <f>A3*2</f>
        <v/>
      </c>
      <c r="B2" s="62" t="inlineStr">
        <is>
          <t>ideal *2</t>
        </is>
      </c>
    </row>
    <row r="3">
      <c r="A3" s="61">
        <f>1.6*1.1</f>
        <v/>
      </c>
      <c r="B3" s="62" t="inlineStr">
        <is>
          <t>ideal +10%</t>
        </is>
      </c>
    </row>
    <row r="5" ht="15" customHeight="1" thickBot="1"/>
    <row r="6" ht="15.9" customHeight="1">
      <c r="A6" s="5" t="n"/>
      <c r="B6" s="5" t="inlineStr">
        <is>
          <t>E1E2</t>
        </is>
      </c>
      <c r="C6" s="6">
        <f>W!$K$52</f>
        <v/>
      </c>
      <c r="D6" s="6">
        <f>W!$K$53</f>
        <v/>
      </c>
      <c r="E6" s="6">
        <f>W!$K$54</f>
        <v/>
      </c>
      <c r="F6" s="6">
        <f>W!$K$55</f>
        <v/>
      </c>
      <c r="G6" s="6">
        <f>W!$K$56</f>
        <v/>
      </c>
      <c r="H6" s="6">
        <f>W!$K$57</f>
        <v/>
      </c>
      <c r="I6" s="5" t="n"/>
      <c r="J6" s="5" t="n"/>
      <c r="K6" s="2" t="n"/>
      <c r="N6" s="53" t="n"/>
    </row>
    <row r="7" ht="15.9" customHeigh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N7" s="53" t="n"/>
    </row>
    <row r="8" ht="16.3" customHeight="1" thickBot="1">
      <c r="A8" s="5" t="n"/>
      <c r="B8" s="5" t="inlineStr">
        <is>
          <t>E2E1</t>
        </is>
      </c>
      <c r="C8" s="10">
        <f>W!$O$52</f>
        <v/>
      </c>
      <c r="D8" s="10">
        <f>W!$O$53</f>
        <v/>
      </c>
      <c r="E8" s="10">
        <f>W!$O$54</f>
        <v/>
      </c>
      <c r="F8" s="10">
        <f>W!$O$55</f>
        <v/>
      </c>
      <c r="G8" s="10">
        <f>W!$O$56</f>
        <v/>
      </c>
      <c r="H8" s="10">
        <f>W!$O$57</f>
        <v/>
      </c>
      <c r="I8" s="5" t="n"/>
      <c r="J8" s="5" t="n"/>
      <c r="K8" s="2" t="n"/>
      <c r="N8" s="53" t="n"/>
    </row>
    <row r="9" ht="15.9" customHeight="1">
      <c r="A9" s="5" t="n"/>
      <c r="B9" s="6">
        <f>W!$K$58</f>
        <v/>
      </c>
      <c r="C9" s="6">
        <f>W!$K$59</f>
        <v/>
      </c>
      <c r="D9" s="6">
        <f>W!$K$60</f>
        <v/>
      </c>
      <c r="E9" s="6">
        <f>W!$K$61</f>
        <v/>
      </c>
      <c r="F9" s="6">
        <f>W!$K$62</f>
        <v/>
      </c>
      <c r="G9" s="6">
        <f>W!$K$63</f>
        <v/>
      </c>
      <c r="H9" s="6">
        <f>W!$K$64</f>
        <v/>
      </c>
      <c r="I9" s="6">
        <f>W!$K$65</f>
        <v/>
      </c>
      <c r="J9" s="5" t="n"/>
      <c r="K9" s="2" t="n"/>
      <c r="N9" s="53" t="n"/>
    </row>
    <row r="10" ht="15.9" customHeigh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N10" s="53" t="n"/>
    </row>
    <row r="11" ht="16.3" customHeight="1" thickBot="1">
      <c r="A11" s="5" t="n"/>
      <c r="B11" s="8">
        <f>W!$O$58</f>
        <v/>
      </c>
      <c r="C11" s="8">
        <f>W!$O$59</f>
        <v/>
      </c>
      <c r="D11" s="8">
        <f>W!$O$60</f>
        <v/>
      </c>
      <c r="E11" s="8">
        <f>W!$O$61</f>
        <v/>
      </c>
      <c r="F11" s="8">
        <f>W!$O$62</f>
        <v/>
      </c>
      <c r="G11" s="8">
        <f>W!$O$63</f>
        <v/>
      </c>
      <c r="H11" s="8">
        <f>W!$O$64</f>
        <v/>
      </c>
      <c r="I11" s="8">
        <f>W!$O$65</f>
        <v/>
      </c>
      <c r="J11" s="5" t="n"/>
      <c r="K11" s="2" t="n"/>
      <c r="N11" s="53" t="n"/>
    </row>
    <row r="12" ht="15.9" customHeight="1">
      <c r="A12" s="6">
        <f>W!$K$66</f>
        <v/>
      </c>
      <c r="B12" s="6">
        <f>W!$K$67</f>
        <v/>
      </c>
      <c r="C12" s="6">
        <f>W!$K$68</f>
        <v/>
      </c>
      <c r="D12" s="6">
        <f>W!$K$69</f>
        <v/>
      </c>
      <c r="E12" s="6">
        <f>W!$K$70</f>
        <v/>
      </c>
      <c r="F12" s="6">
        <f>W!$K$71</f>
        <v/>
      </c>
      <c r="G12" s="6">
        <f>W!$K$72</f>
        <v/>
      </c>
      <c r="H12" s="6">
        <f>W!$K$73</f>
        <v/>
      </c>
      <c r="I12" s="6">
        <f>W!$K$74</f>
        <v/>
      </c>
      <c r="J12" s="6">
        <f>W!$K$75</f>
        <v/>
      </c>
      <c r="K12" s="2" t="n"/>
      <c r="N12" s="53" t="n"/>
    </row>
    <row r="13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N13" s="53" t="n"/>
    </row>
    <row r="14" ht="16.3" customHeight="1" thickBot="1">
      <c r="A14" s="10">
        <f>W!$O$66</f>
        <v/>
      </c>
      <c r="B14" s="10">
        <f>W!$O$67</f>
        <v/>
      </c>
      <c r="C14" s="10">
        <f>W!$O$68</f>
        <v/>
      </c>
      <c r="D14" s="10">
        <f>W!$O$69</f>
        <v/>
      </c>
      <c r="E14" s="10">
        <f>W!$O$70</f>
        <v/>
      </c>
      <c r="F14" s="10">
        <f>W!$O$71</f>
        <v/>
      </c>
      <c r="G14" s="10">
        <f>W!$O$72</f>
        <v/>
      </c>
      <c r="H14" s="10">
        <f>W!$O$73</f>
        <v/>
      </c>
      <c r="I14" s="10">
        <f>W!$O$74</f>
        <v/>
      </c>
      <c r="J14" s="10">
        <f>W!$O$75</f>
        <v/>
      </c>
      <c r="K14" s="2" t="n"/>
      <c r="N14" s="53" t="n"/>
    </row>
    <row r="15" ht="15.9" customHeight="1">
      <c r="A15" s="40">
        <f>W!$K$76</f>
        <v/>
      </c>
      <c r="B15" s="40">
        <f>W!$K$77</f>
        <v/>
      </c>
      <c r="C15" s="40">
        <f>W!$K$78</f>
        <v/>
      </c>
      <c r="D15" s="40">
        <f>W!$K$79</f>
        <v/>
      </c>
      <c r="E15" s="40">
        <f>W!$K$80</f>
        <v/>
      </c>
      <c r="F15" s="40">
        <f>W!$K$81</f>
        <v/>
      </c>
      <c r="G15" s="40">
        <f>W!$K$82</f>
        <v/>
      </c>
      <c r="H15" s="40">
        <f>W!$K$83</f>
        <v/>
      </c>
      <c r="I15" s="40">
        <f>W!$K$84</f>
        <v/>
      </c>
      <c r="J15" s="40">
        <f>W!$K$85</f>
        <v/>
      </c>
      <c r="K15" s="82" t="n"/>
      <c r="N15" s="54" t="n"/>
    </row>
    <row r="16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54" t="n"/>
    </row>
    <row r="17" ht="16.3" customHeight="1" thickBot="1">
      <c r="A17" s="8">
        <f>W!$O$76</f>
        <v/>
      </c>
      <c r="B17" s="8">
        <f>W!$O$77</f>
        <v/>
      </c>
      <c r="C17" s="8">
        <f>W!$O$78</f>
        <v/>
      </c>
      <c r="D17" s="36">
        <f>W!$O$79</f>
        <v/>
      </c>
      <c r="E17" s="8">
        <f>W!$O$80</f>
        <v/>
      </c>
      <c r="F17" s="8">
        <f>W!$O$81</f>
        <v/>
      </c>
      <c r="G17" s="33">
        <f>W!$O$82</f>
        <v/>
      </c>
      <c r="H17" s="8">
        <f>W!$O$83</f>
        <v/>
      </c>
      <c r="I17" s="8">
        <f>W!$O$84</f>
        <v/>
      </c>
      <c r="J17" s="8">
        <f>W!$O$85</f>
        <v/>
      </c>
      <c r="K17" s="98" t="n"/>
      <c r="N17" s="54" t="n"/>
    </row>
    <row r="18" ht="15.9" customHeight="1">
      <c r="A18" s="6">
        <f>W!$K$86</f>
        <v/>
      </c>
      <c r="B18" s="6">
        <f>W!$K$87</f>
        <v/>
      </c>
      <c r="C18" s="6">
        <f>W!$K$88</f>
        <v/>
      </c>
      <c r="D18" s="6">
        <f>W!$K$89</f>
        <v/>
      </c>
      <c r="E18" s="6">
        <f>W!$K$90</f>
        <v/>
      </c>
      <c r="F18" s="6">
        <f>W!$K$91</f>
        <v/>
      </c>
      <c r="G18" s="6">
        <f>W!$K$92</f>
        <v/>
      </c>
      <c r="H18" s="6">
        <f>W!$K$93</f>
        <v/>
      </c>
      <c r="I18" s="6">
        <f>W!$K$94</f>
        <v/>
      </c>
      <c r="J18" s="6">
        <f>W!$K$95</f>
        <v/>
      </c>
      <c r="K18" s="98" t="n"/>
      <c r="N18" s="54" t="n"/>
    </row>
    <row r="19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54" t="n"/>
    </row>
    <row r="20" ht="16.3" customHeight="1" thickBot="1">
      <c r="A20" s="10">
        <f>W!$O$86</f>
        <v/>
      </c>
      <c r="B20" s="8">
        <f>W!$O$87</f>
        <v/>
      </c>
      <c r="C20" s="8">
        <f>W!$O$88</f>
        <v/>
      </c>
      <c r="D20" s="36">
        <f>W!$O$89</f>
        <v/>
      </c>
      <c r="E20" s="8">
        <f>W!$O$90</f>
        <v/>
      </c>
      <c r="F20" s="8">
        <f>W!$O$91</f>
        <v/>
      </c>
      <c r="G20" s="33">
        <f>W!$O$92</f>
        <v/>
      </c>
      <c r="H20" s="8">
        <f>W!$O$93</f>
        <v/>
      </c>
      <c r="I20" s="8">
        <f>W!$O$94</f>
        <v/>
      </c>
      <c r="J20" s="10">
        <f>W!$O$95</f>
        <v/>
      </c>
      <c r="K20" s="98" t="n"/>
      <c r="N20" s="54" t="n"/>
    </row>
    <row r="21" ht="15.9" customHeight="1">
      <c r="A21" s="6">
        <f>W!$K$96</f>
        <v/>
      </c>
      <c r="B21" s="6">
        <f>W!$K$97</f>
        <v/>
      </c>
      <c r="C21" s="6">
        <f>W!$K$98</f>
        <v/>
      </c>
      <c r="D21" s="6">
        <f>W!$K$99</f>
        <v/>
      </c>
      <c r="E21" s="6">
        <f>W!$K$100</f>
        <v/>
      </c>
      <c r="F21" s="6">
        <f>W!$K$101</f>
        <v/>
      </c>
      <c r="G21" s="6">
        <f>W!$K$102</f>
        <v/>
      </c>
      <c r="H21" s="6">
        <f>W!$K$103</f>
        <v/>
      </c>
      <c r="I21" s="6">
        <f>W!$K$104</f>
        <v/>
      </c>
      <c r="J21" s="6">
        <f>W!$K$105</f>
        <v/>
      </c>
      <c r="K21" s="98" t="n"/>
      <c r="N21" s="54" t="n"/>
    </row>
    <row r="22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54" t="n"/>
    </row>
    <row r="23" ht="16.3" customHeight="1" thickBot="1">
      <c r="A23" s="8">
        <f>W!$O$96</f>
        <v/>
      </c>
      <c r="B23" s="8">
        <f>W!$O$97</f>
        <v/>
      </c>
      <c r="C23" s="8">
        <f>W!$O$98</f>
        <v/>
      </c>
      <c r="D23" s="36">
        <f>W!$O$99</f>
        <v/>
      </c>
      <c r="E23" s="8">
        <f>W!$O$100</f>
        <v/>
      </c>
      <c r="F23" s="8">
        <f>W!$O$101</f>
        <v/>
      </c>
      <c r="G23" s="33">
        <f>W!$O$102</f>
        <v/>
      </c>
      <c r="H23" s="8">
        <f>W!$O$103</f>
        <v/>
      </c>
      <c r="I23" s="8">
        <f>W!$O$104</f>
        <v/>
      </c>
      <c r="J23" s="8">
        <f>W!$O$105</f>
        <v/>
      </c>
      <c r="K23" s="98" t="n"/>
      <c r="N23" s="54" t="n"/>
    </row>
    <row r="24" ht="15.9" customHeight="1">
      <c r="A24" s="6">
        <f>W!$K$106</f>
        <v/>
      </c>
      <c r="B24" s="6">
        <f>W!$K$107</f>
        <v/>
      </c>
      <c r="C24" s="6">
        <f>W!$K$108</f>
        <v/>
      </c>
      <c r="D24" s="6">
        <f>W!$K$109</f>
        <v/>
      </c>
      <c r="E24" s="6">
        <f>W!$K$110</f>
        <v/>
      </c>
      <c r="F24" s="6">
        <f>W!$K$111</f>
        <v/>
      </c>
      <c r="G24" s="6">
        <f>W!$K$112</f>
        <v/>
      </c>
      <c r="H24" s="6">
        <f>W!$K$113</f>
        <v/>
      </c>
      <c r="I24" s="6">
        <f>W!$K$114</f>
        <v/>
      </c>
      <c r="J24" s="6">
        <f>W!$K$115</f>
        <v/>
      </c>
      <c r="K24" s="98" t="n"/>
      <c r="N24" s="54" t="n"/>
    </row>
    <row r="25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54" t="n"/>
    </row>
    <row r="26" ht="16.3" customHeight="1" thickBot="1">
      <c r="A26" s="8">
        <f>W!$O$106</f>
        <v/>
      </c>
      <c r="B26" s="8">
        <f>W!$O$107</f>
        <v/>
      </c>
      <c r="C26" s="8">
        <f>W!$O$108</f>
        <v/>
      </c>
      <c r="D26" s="36">
        <f>W!$O$109</f>
        <v/>
      </c>
      <c r="E26" s="8">
        <f>W!$O$110</f>
        <v/>
      </c>
      <c r="F26" s="8">
        <f>W!$O$111</f>
        <v/>
      </c>
      <c r="G26" s="33">
        <f>W!$O$112</f>
        <v/>
      </c>
      <c r="H26" s="8">
        <f>W!$O$113</f>
        <v/>
      </c>
      <c r="I26" s="8">
        <f>W!$O$114</f>
        <v/>
      </c>
      <c r="J26" s="8">
        <f>W!$O$115</f>
        <v/>
      </c>
      <c r="K26" s="98" t="n"/>
      <c r="N26" s="54" t="n"/>
    </row>
    <row r="27" ht="15.9" customHeight="1">
      <c r="A27" s="6">
        <f>W!$K$116</f>
        <v/>
      </c>
      <c r="B27" s="6">
        <f>W!$K$117</f>
        <v/>
      </c>
      <c r="C27" s="6">
        <f>W!$K$118</f>
        <v/>
      </c>
      <c r="D27" s="6">
        <f>W!$K$119</f>
        <v/>
      </c>
      <c r="E27" s="6">
        <f>W!$K$120</f>
        <v/>
      </c>
      <c r="F27" s="6">
        <f>W!$K$121</f>
        <v/>
      </c>
      <c r="G27" s="6">
        <f>W!$K$122</f>
        <v/>
      </c>
      <c r="H27" s="6">
        <f>W!$K$123</f>
        <v/>
      </c>
      <c r="I27" s="6">
        <f>W!$K$124</f>
        <v/>
      </c>
      <c r="J27" s="6">
        <f>W!$K$125</f>
        <v/>
      </c>
      <c r="K27" s="2" t="n"/>
      <c r="N27" s="53" t="n"/>
    </row>
    <row r="28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N28" s="53" t="n"/>
    </row>
    <row r="29" ht="16.3" customHeight="1" thickBot="1">
      <c r="A29" s="10">
        <f>W!$O$116</f>
        <v/>
      </c>
      <c r="B29" s="10">
        <f>W!$O$117</f>
        <v/>
      </c>
      <c r="C29" s="10">
        <f>W!$O$118</f>
        <v/>
      </c>
      <c r="D29" s="37">
        <f>W!$O$119</f>
        <v/>
      </c>
      <c r="E29" s="10">
        <f>W!$O$120</f>
        <v/>
      </c>
      <c r="F29" s="10">
        <f>W!$O$121</f>
        <v/>
      </c>
      <c r="G29" s="34">
        <f>W!$O$122</f>
        <v/>
      </c>
      <c r="H29" s="10">
        <f>W!$O$123</f>
        <v/>
      </c>
      <c r="I29" s="10">
        <f>W!$O$124</f>
        <v/>
      </c>
      <c r="J29" s="10">
        <f>W!$O$125</f>
        <v/>
      </c>
      <c r="K29" s="2" t="n"/>
      <c r="N29" s="53" t="n"/>
    </row>
    <row r="30" ht="15.9" customHeight="1">
      <c r="A30" s="5" t="n"/>
      <c r="B30" s="6">
        <f>W!$K$126</f>
        <v/>
      </c>
      <c r="C30" s="6">
        <f>W!$K$127</f>
        <v/>
      </c>
      <c r="D30" s="6">
        <f>W!$K$128</f>
        <v/>
      </c>
      <c r="E30" s="6">
        <f>W!$K$129</f>
        <v/>
      </c>
      <c r="F30" s="6">
        <f>W!$K$130</f>
        <v/>
      </c>
      <c r="G30" s="6">
        <f>W!$K$131</f>
        <v/>
      </c>
      <c r="H30" s="6">
        <f>W!$K$132</f>
        <v/>
      </c>
      <c r="I30" s="6">
        <f>W!$K$133</f>
        <v/>
      </c>
      <c r="J30" s="5" t="n"/>
      <c r="K30" s="2" t="n"/>
      <c r="N30" s="53" t="n"/>
    </row>
    <row r="31" ht="18.45" customHeigh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N31" s="53" t="n"/>
    </row>
    <row r="32" ht="18.9" customHeight="1" thickBot="1">
      <c r="A32" s="5" t="n"/>
      <c r="B32" s="10">
        <f>W!$O$126</f>
        <v/>
      </c>
      <c r="C32" s="8">
        <f>W!$O$127</f>
        <v/>
      </c>
      <c r="D32" s="36">
        <f>W!$O$128</f>
        <v/>
      </c>
      <c r="E32" s="8">
        <f>W!$O$129</f>
        <v/>
      </c>
      <c r="F32" s="8">
        <f>W!$O$130</f>
        <v/>
      </c>
      <c r="G32" s="33">
        <f>W!$O$131</f>
        <v/>
      </c>
      <c r="H32" s="8">
        <f>W!$O$132</f>
        <v/>
      </c>
      <c r="I32" s="10">
        <f>W!$O$133</f>
        <v/>
      </c>
      <c r="J32" s="5" t="n"/>
      <c r="K32" s="16" t="n"/>
      <c r="N32" s="53" t="n"/>
    </row>
    <row r="33" ht="15.9" customHeight="1">
      <c r="A33" s="5" t="n"/>
      <c r="B33" s="5" t="n"/>
      <c r="C33" s="6">
        <f>W!$K$134</f>
        <v/>
      </c>
      <c r="D33" s="6">
        <f>W!$K$135</f>
        <v/>
      </c>
      <c r="E33" s="6">
        <f>W!$K$136</f>
        <v/>
      </c>
      <c r="F33" s="6">
        <f>W!$K$137</f>
        <v/>
      </c>
      <c r="G33" s="6">
        <f>W!$K$138</f>
        <v/>
      </c>
      <c r="H33" s="6">
        <f>W!$K$139</f>
        <v/>
      </c>
      <c r="I33" s="5" t="n"/>
      <c r="J33" s="5" t="n"/>
      <c r="K33" s="2" t="n"/>
      <c r="N33" s="53" t="n"/>
    </row>
    <row r="34" ht="15.9" customHeigh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N34" s="53" t="n"/>
    </row>
    <row r="35" ht="16.3" customHeight="1" thickBot="1">
      <c r="A35" s="5" t="n"/>
      <c r="B35" s="5" t="n"/>
      <c r="C35" s="10">
        <f>W!$O$134</f>
        <v/>
      </c>
      <c r="D35" s="37">
        <f>W!$O$135</f>
        <v/>
      </c>
      <c r="E35" s="10">
        <f>W!$O$136</f>
        <v/>
      </c>
      <c r="F35" s="10">
        <f>W!$O$137</f>
        <v/>
      </c>
      <c r="G35" s="34">
        <f>W!$O$138</f>
        <v/>
      </c>
      <c r="H35" s="10">
        <f>W!$O$139</f>
        <v/>
      </c>
      <c r="I35" s="5" t="n"/>
      <c r="J35" s="5" t="n"/>
      <c r="K35" s="2" t="n"/>
      <c r="N35" s="53" t="n"/>
    </row>
    <row r="36"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N36" s="53" t="n"/>
    </row>
    <row r="37">
      <c r="C37" s="11" t="n"/>
      <c r="H37" s="11" t="n"/>
      <c r="I37" s="2" t="n"/>
      <c r="J37" s="2" t="n"/>
      <c r="K37" s="2" t="n"/>
      <c r="N37" s="53" t="n"/>
    </row>
    <row r="39">
      <c r="A39" s="55" t="inlineStr">
        <is>
          <t>High Value</t>
        </is>
      </c>
      <c r="B39" s="56">
        <f>IF(OR(W!C43&lt;&gt;"",W!C44&lt;&gt;""),MAX(C6:H6,C8:H8,B9:I9,B11:I11,A12:J12,A14:J14,A15:J15,A17:J17,A18:J18,A20:J20,A21:J21,A23:J23,A24:J24,A26:J26,A27:J27,A29:J29,B30:I30,B32:I32,C33:H33,C35:H35),"")</f>
        <v/>
      </c>
    </row>
    <row r="40">
      <c r="A40" s="57" t="inlineStr">
        <is>
          <t>Low Value</t>
        </is>
      </c>
      <c r="B40" s="58">
        <f>IF(OR(W!C43&lt;&gt;"",W!C44&lt;&gt;""),MIN(C6:H6,C8:H8,B9:I9,B11:I11,A12:J12,A14:J14,A15:J15,A17:J17,A18:J18,A20:J20,A21:J21,A23:J23,A24:J24,A26:J26,A27:J27,A29:J29,B30:I30,B32:I32,C33:H33,C35:H35),"")</f>
        <v/>
      </c>
    </row>
    <row r="41">
      <c r="A41" s="59" t="inlineStr">
        <is>
          <t>Avg E1E2</t>
        </is>
      </c>
      <c r="B41" s="60">
        <f>IF(OR(W!C43&lt;&gt;"",W!C44&lt;&gt;""),W!C43,"")</f>
        <v/>
      </c>
    </row>
    <row r="42">
      <c r="A42" s="57" t="inlineStr">
        <is>
          <t>Avg E2E1</t>
        </is>
      </c>
      <c r="B42" s="58">
        <f>IF(OR(W!C43&lt;&gt;"",W!C44&lt;&gt;""),W!C44,"")</f>
        <v/>
      </c>
    </row>
    <row r="43">
      <c r="A43" s="59" t="inlineStr">
        <is>
          <t>E1E2 Dev</t>
        </is>
      </c>
      <c r="B43" s="60">
        <f>IF(OR(W!C43&lt;&gt;"",W!C44&lt;&gt;""),_xlfn.STDEV.S(C6:H6,B9:I9,A12:J12,A15:J15,A18:J18,A21:J21,A24:J24,A27:J27,B30:I30,C33:H33),"")</f>
        <v/>
      </c>
    </row>
    <row r="44">
      <c r="A44" s="57" t="inlineStr">
        <is>
          <t>E2E1 Dev</t>
        </is>
      </c>
      <c r="B44" s="58">
        <f>IF(OR(W!C43&lt;&gt;"",W!C44&lt;&gt;""),_xlfn.STDEV.S(C8:H8,B11:I11,A14:J14,A17:J17,A20:J20,A23:J23,A26:J26,A29:J29,B32:I32,C35:H35),"")</f>
        <v/>
      </c>
    </row>
    <row r="51" hidden="1">
      <c r="N51" s="52">
        <f>W!N52</f>
        <v/>
      </c>
    </row>
    <row r="52" hidden="1">
      <c r="N52" s="52">
        <f>W!N53</f>
        <v/>
      </c>
    </row>
    <row r="53" hidden="1">
      <c r="N53" s="52">
        <f>W!N54</f>
        <v/>
      </c>
    </row>
    <row r="54" hidden="1">
      <c r="N54" s="52">
        <f>W!N55</f>
        <v/>
      </c>
    </row>
    <row r="55" hidden="1">
      <c r="N55" s="52">
        <f>W!N56</f>
        <v/>
      </c>
    </row>
    <row r="56" hidden="1">
      <c r="N56" s="52">
        <f>W!N57</f>
        <v/>
      </c>
    </row>
    <row r="57" hidden="1">
      <c r="N57" s="52">
        <f>W!N58</f>
        <v/>
      </c>
    </row>
    <row r="58" hidden="1">
      <c r="N58" s="52">
        <f>W!N59</f>
        <v/>
      </c>
    </row>
    <row r="59" hidden="1">
      <c r="N59" s="52">
        <f>W!N60</f>
        <v/>
      </c>
    </row>
    <row r="60" hidden="1">
      <c r="N60" s="52">
        <f>W!N61</f>
        <v/>
      </c>
    </row>
    <row r="61" hidden="1">
      <c r="N61" s="52">
        <f>W!N62</f>
        <v/>
      </c>
    </row>
    <row r="62" hidden="1">
      <c r="N62" s="52">
        <f>W!N63</f>
        <v/>
      </c>
    </row>
    <row r="63" hidden="1">
      <c r="N63" s="52">
        <f>W!N64</f>
        <v/>
      </c>
    </row>
    <row r="64" hidden="1">
      <c r="N64" s="52">
        <f>W!N65</f>
        <v/>
      </c>
    </row>
    <row r="65" hidden="1">
      <c r="N65" s="52">
        <f>W!N66</f>
        <v/>
      </c>
    </row>
    <row r="66" hidden="1">
      <c r="N66" s="52">
        <f>W!N67</f>
        <v/>
      </c>
    </row>
    <row r="67" hidden="1">
      <c r="N67" s="52">
        <f>W!N68</f>
        <v/>
      </c>
    </row>
    <row r="68" hidden="1">
      <c r="N68" s="52">
        <f>W!N69</f>
        <v/>
      </c>
    </row>
    <row r="69" hidden="1">
      <c r="N69" s="52">
        <f>W!N70</f>
        <v/>
      </c>
    </row>
    <row r="70" hidden="1">
      <c r="N70" s="52">
        <f>W!N71</f>
        <v/>
      </c>
    </row>
    <row r="71" hidden="1">
      <c r="N71" s="52">
        <f>W!N72</f>
        <v/>
      </c>
    </row>
    <row r="72" hidden="1">
      <c r="N72" s="52">
        <f>W!N73</f>
        <v/>
      </c>
    </row>
    <row r="73" hidden="1">
      <c r="N73" s="52">
        <f>W!N74</f>
        <v/>
      </c>
    </row>
    <row r="74" hidden="1">
      <c r="N74" s="52">
        <f>W!N75</f>
        <v/>
      </c>
    </row>
    <row r="75" hidden="1">
      <c r="N75" s="52">
        <f>W!N76</f>
        <v/>
      </c>
    </row>
    <row r="76" hidden="1">
      <c r="N76" s="52">
        <f>W!N77</f>
        <v/>
      </c>
    </row>
    <row r="77" hidden="1">
      <c r="N77" s="52">
        <f>W!N78</f>
        <v/>
      </c>
    </row>
    <row r="78" hidden="1">
      <c r="N78" s="52">
        <f>W!N79</f>
        <v/>
      </c>
    </row>
    <row r="79" hidden="1">
      <c r="N79" s="52">
        <f>W!N80</f>
        <v/>
      </c>
    </row>
    <row r="80" hidden="1">
      <c r="N80" s="52">
        <f>W!N81</f>
        <v/>
      </c>
    </row>
    <row r="81" hidden="1">
      <c r="N81" s="52">
        <f>W!N82</f>
        <v/>
      </c>
    </row>
    <row r="82" hidden="1">
      <c r="N82" s="52">
        <f>W!N83</f>
        <v/>
      </c>
    </row>
    <row r="83" hidden="1">
      <c r="N83" s="52">
        <f>W!N84</f>
        <v/>
      </c>
    </row>
    <row r="84" hidden="1">
      <c r="N84" s="52">
        <f>W!N85</f>
        <v/>
      </c>
    </row>
    <row r="85" hidden="1">
      <c r="N85" s="52">
        <f>W!N86</f>
        <v/>
      </c>
    </row>
    <row r="86" hidden="1">
      <c r="N86" s="52">
        <f>W!N87</f>
        <v/>
      </c>
    </row>
    <row r="87" hidden="1">
      <c r="N87" s="52">
        <f>W!N88</f>
        <v/>
      </c>
    </row>
    <row r="88" hidden="1">
      <c r="N88" s="52">
        <f>W!N89</f>
        <v/>
      </c>
    </row>
    <row r="89" hidden="1">
      <c r="N89" s="52">
        <f>W!N90</f>
        <v/>
      </c>
    </row>
    <row r="90" hidden="1">
      <c r="N90" s="52">
        <f>W!N91</f>
        <v/>
      </c>
    </row>
    <row r="91" hidden="1">
      <c r="N91" s="52">
        <f>W!N92</f>
        <v/>
      </c>
    </row>
    <row r="92" hidden="1">
      <c r="N92" s="52">
        <f>W!N93</f>
        <v/>
      </c>
    </row>
    <row r="93" hidden="1">
      <c r="N93" s="52">
        <f>W!N94</f>
        <v/>
      </c>
    </row>
    <row r="94" hidden="1">
      <c r="N94" s="52">
        <f>W!N95</f>
        <v/>
      </c>
    </row>
    <row r="95" hidden="1">
      <c r="N95" s="52">
        <f>W!N96</f>
        <v/>
      </c>
    </row>
    <row r="96" hidden="1">
      <c r="N96" s="52">
        <f>W!N97</f>
        <v/>
      </c>
    </row>
    <row r="97" hidden="1">
      <c r="N97" s="52">
        <f>W!N98</f>
        <v/>
      </c>
    </row>
    <row r="98" hidden="1">
      <c r="N98" s="52">
        <f>W!N99</f>
        <v/>
      </c>
    </row>
    <row r="99" hidden="1">
      <c r="N99" s="52">
        <f>W!N100</f>
        <v/>
      </c>
    </row>
    <row r="100" hidden="1">
      <c r="N100" s="52">
        <f>W!N101</f>
        <v/>
      </c>
    </row>
    <row r="101" hidden="1">
      <c r="N101" s="52">
        <f>W!N102</f>
        <v/>
      </c>
    </row>
    <row r="102" hidden="1">
      <c r="N102" s="52">
        <f>W!N103</f>
        <v/>
      </c>
    </row>
    <row r="103" hidden="1">
      <c r="N103" s="52">
        <f>W!N104</f>
        <v/>
      </c>
    </row>
    <row r="104" hidden="1">
      <c r="N104" s="52">
        <f>W!N105</f>
        <v/>
      </c>
    </row>
    <row r="105" hidden="1">
      <c r="N105" s="52">
        <f>W!N106</f>
        <v/>
      </c>
    </row>
    <row r="106" hidden="1">
      <c r="N106" s="52">
        <f>W!N107</f>
        <v/>
      </c>
    </row>
    <row r="107" hidden="1">
      <c r="N107" s="52">
        <f>W!N108</f>
        <v/>
      </c>
    </row>
    <row r="108" hidden="1">
      <c r="N108" s="52">
        <f>W!N109</f>
        <v/>
      </c>
    </row>
    <row r="109" hidden="1">
      <c r="N109" s="52">
        <f>W!N110</f>
        <v/>
      </c>
    </row>
    <row r="110" hidden="1">
      <c r="N110" s="52">
        <f>W!N111</f>
        <v/>
      </c>
    </row>
    <row r="111" hidden="1">
      <c r="N111" s="52">
        <f>W!N112</f>
        <v/>
      </c>
    </row>
    <row r="112" hidden="1">
      <c r="N112" s="52">
        <f>W!N113</f>
        <v/>
      </c>
    </row>
    <row r="113" hidden="1">
      <c r="N113" s="52">
        <f>W!N114</f>
        <v/>
      </c>
    </row>
    <row r="114" hidden="1">
      <c r="N114" s="52">
        <f>W!N115</f>
        <v/>
      </c>
    </row>
    <row r="115" hidden="1">
      <c r="N115" s="52">
        <f>W!N116</f>
        <v/>
      </c>
    </row>
    <row r="116" hidden="1">
      <c r="N116" s="52">
        <f>W!N117</f>
        <v/>
      </c>
    </row>
    <row r="117" hidden="1">
      <c r="N117" s="52">
        <f>W!N118</f>
        <v/>
      </c>
    </row>
    <row r="118" hidden="1">
      <c r="N118" s="52">
        <f>W!N119</f>
        <v/>
      </c>
    </row>
    <row r="119" hidden="1">
      <c r="N119" s="52">
        <f>W!N120</f>
        <v/>
      </c>
    </row>
    <row r="120" hidden="1">
      <c r="N120" s="52">
        <f>W!N121</f>
        <v/>
      </c>
    </row>
    <row r="121" hidden="1">
      <c r="N121" s="52">
        <f>W!N122</f>
        <v/>
      </c>
    </row>
    <row r="122" hidden="1">
      <c r="N122" s="52">
        <f>W!N123</f>
        <v/>
      </c>
    </row>
    <row r="123" hidden="1">
      <c r="N123" s="52">
        <f>W!N124</f>
        <v/>
      </c>
    </row>
    <row r="124" hidden="1">
      <c r="N124" s="52">
        <f>W!N125</f>
        <v/>
      </c>
    </row>
    <row r="125" hidden="1">
      <c r="N125" s="52">
        <f>W!N126</f>
        <v/>
      </c>
    </row>
    <row r="126" hidden="1">
      <c r="N126" s="52">
        <f>W!N127</f>
        <v/>
      </c>
    </row>
    <row r="127" hidden="1">
      <c r="N127" s="52">
        <f>W!N128</f>
        <v/>
      </c>
    </row>
    <row r="128" hidden="1">
      <c r="N128" s="52">
        <f>W!N129</f>
        <v/>
      </c>
    </row>
    <row r="129" hidden="1">
      <c r="N129" s="52">
        <f>W!N130</f>
        <v/>
      </c>
    </row>
    <row r="130" hidden="1">
      <c r="N130" s="52">
        <f>W!N131</f>
        <v/>
      </c>
    </row>
    <row r="131" hidden="1">
      <c r="N131" s="52">
        <f>W!N132</f>
        <v/>
      </c>
    </row>
    <row r="132" hidden="1">
      <c r="N132" s="52">
        <f>W!N133</f>
        <v/>
      </c>
    </row>
    <row r="133" hidden="1">
      <c r="N133" s="52">
        <f>W!N134</f>
        <v/>
      </c>
    </row>
    <row r="134" hidden="1">
      <c r="N134" s="52">
        <f>W!N135</f>
        <v/>
      </c>
    </row>
    <row r="135" hidden="1">
      <c r="N135" s="52">
        <f>W!N136</f>
        <v/>
      </c>
    </row>
    <row r="136" hidden="1">
      <c r="N136" s="52">
        <f>W!N137</f>
        <v/>
      </c>
    </row>
    <row r="137" hidden="1">
      <c r="N137" s="52">
        <f>W!N138</f>
        <v/>
      </c>
    </row>
    <row r="138" hidden="1">
      <c r="N138" s="52">
        <f>W!N139</f>
        <v/>
      </c>
    </row>
    <row r="139" hidden="1">
      <c r="N139" s="52">
        <f>W!N140</f>
        <v/>
      </c>
    </row>
  </sheetData>
  <mergeCells count="2">
    <mergeCell ref="K15:K26"/>
    <mergeCell ref="D36:G37"/>
  </mergeCells>
  <conditionalFormatting sqref="A13">
    <cfRule type="expression" priority="149" dxfId="0">
      <formula>$N$65="UD"</formula>
    </cfRule>
    <cfRule type="expression" priority="148" dxfId="1">
      <formula>$N$65="BD"</formula>
    </cfRule>
  </conditionalFormatting>
  <conditionalFormatting sqref="A16">
    <cfRule type="expression" priority="129" dxfId="0">
      <formula>$N$75="UD"</formula>
    </cfRule>
    <cfRule type="expression" priority="128" dxfId="1">
      <formula>$N$75="BD"</formula>
    </cfRule>
  </conditionalFormatting>
  <conditionalFormatting sqref="A19">
    <cfRule type="expression" priority="109" dxfId="0">
      <formula>$N$85="UD"</formula>
    </cfRule>
    <cfRule type="expression" priority="108" dxfId="1">
      <formula>$N$85="BD"</formula>
    </cfRule>
  </conditionalFormatting>
  <conditionalFormatting sqref="A22">
    <cfRule type="expression" priority="89" dxfId="0">
      <formula>$N$95="UD"</formula>
    </cfRule>
    <cfRule type="expression" priority="88" dxfId="1">
      <formula>$N$95="BD"</formula>
    </cfRule>
  </conditionalFormatting>
  <conditionalFormatting sqref="A25">
    <cfRule type="expression" priority="68" dxfId="1">
      <formula>$N$105="BD"</formula>
    </cfRule>
    <cfRule type="expression" priority="69" dxfId="0">
      <formula>$N$105="UD"</formula>
    </cfRule>
  </conditionalFormatting>
  <conditionalFormatting sqref="A28">
    <cfRule type="expression" priority="48" dxfId="1">
      <formula>$N$115="BD"</formula>
    </cfRule>
    <cfRule type="expression" priority="49" dxfId="0">
      <formula>$N$115="UD"</formula>
    </cfRule>
  </conditionalFormatting>
  <conditionalFormatting sqref="B10">
    <cfRule type="expression" priority="165" dxfId="0">
      <formula>$N$57="UD"</formula>
    </cfRule>
    <cfRule type="expression" priority="164" dxfId="1">
      <formula>$N$57="BD"</formula>
    </cfRule>
  </conditionalFormatting>
  <conditionalFormatting sqref="B13">
    <cfRule type="expression" priority="147" dxfId="0">
      <formula>$N$66="UD"</formula>
    </cfRule>
    <cfRule type="expression" priority="146" dxfId="1">
      <formula>$N$66="BD"</formula>
    </cfRule>
  </conditionalFormatting>
  <conditionalFormatting sqref="B16">
    <cfRule type="expression" priority="127" dxfId="0">
      <formula>$N$76="UD"</formula>
    </cfRule>
    <cfRule type="expression" priority="126" dxfId="1">
      <formula>$N$76="BD"</formula>
    </cfRule>
  </conditionalFormatting>
  <conditionalFormatting sqref="B19">
    <cfRule type="expression" priority="106" dxfId="1">
      <formula>$N$86="BD"</formula>
    </cfRule>
    <cfRule type="expression" priority="107" dxfId="0">
      <formula>$N$86="UD"</formula>
    </cfRule>
  </conditionalFormatting>
  <conditionalFormatting sqref="B22">
    <cfRule type="expression" priority="87" dxfId="0">
      <formula>$N$96="UD"</formula>
    </cfRule>
    <cfRule type="expression" priority="86" dxfId="1">
      <formula>$N$96="BD"</formula>
    </cfRule>
  </conditionalFormatting>
  <conditionalFormatting sqref="B25">
    <cfRule type="expression" priority="66" dxfId="1">
      <formula>$N$106="BD"</formula>
    </cfRule>
    <cfRule type="expression" priority="67" dxfId="0">
      <formula>$N$106="UD"</formula>
    </cfRule>
  </conditionalFormatting>
  <conditionalFormatting sqref="B28">
    <cfRule type="expression" priority="47" dxfId="0">
      <formula>$N$116="UD"</formula>
    </cfRule>
    <cfRule type="expression" priority="46" dxfId="1">
      <formula>$N$116="BD"</formula>
    </cfRule>
  </conditionalFormatting>
  <conditionalFormatting sqref="B31">
    <cfRule type="expression" priority="29" dxfId="0">
      <formula>$N$125="UD"</formula>
    </cfRule>
    <cfRule type="expression" priority="28" dxfId="1">
      <formula>$N$125="BD"</formula>
    </cfRule>
  </conditionalFormatting>
  <conditionalFormatting sqref="C7">
    <cfRule type="expression" priority="177" dxfId="0">
      <formula>$N$51="UD"</formula>
    </cfRule>
    <cfRule type="expression" priority="176" dxfId="1">
      <formula>$N$51="BD"</formula>
    </cfRule>
  </conditionalFormatting>
  <conditionalFormatting sqref="C10">
    <cfRule type="expression" priority="163" dxfId="0">
      <formula>$N$58="UD"</formula>
    </cfRule>
    <cfRule type="expression" priority="162" dxfId="1">
      <formula>$N$58="BD"</formula>
    </cfRule>
  </conditionalFormatting>
  <conditionalFormatting sqref="C13">
    <cfRule type="expression" priority="144" dxfId="1">
      <formula>$N$67="BD"</formula>
    </cfRule>
    <cfRule type="expression" priority="145" dxfId="0">
      <formula>$N$67="UD"</formula>
    </cfRule>
  </conditionalFormatting>
  <conditionalFormatting sqref="C16">
    <cfRule type="expression" priority="125" dxfId="0">
      <formula>$N$77="UD"</formula>
    </cfRule>
    <cfRule type="expression" priority="124" dxfId="1">
      <formula>$N$77="BD"</formula>
    </cfRule>
  </conditionalFormatting>
  <conditionalFormatting sqref="C19">
    <cfRule type="expression" priority="104" dxfId="1">
      <formula>$N$87="BD"</formula>
    </cfRule>
    <cfRule type="expression" priority="105" dxfId="0">
      <formula>$N$87="UD"</formula>
    </cfRule>
  </conditionalFormatting>
  <conditionalFormatting sqref="C22">
    <cfRule type="expression" priority="84" dxfId="1">
      <formula>$N$97="BD"</formula>
    </cfRule>
    <cfRule type="expression" priority="85" dxfId="0">
      <formula>$N$97="UD"</formula>
    </cfRule>
  </conditionalFormatting>
  <conditionalFormatting sqref="C25">
    <cfRule type="expression" priority="65" dxfId="0">
      <formula>$N$107="UD"</formula>
    </cfRule>
    <cfRule type="expression" priority="64" dxfId="1">
      <formula>$N$107="BD"</formula>
    </cfRule>
  </conditionalFormatting>
  <conditionalFormatting sqref="C28">
    <cfRule type="expression" priority="45" dxfId="0">
      <formula>$N$117="UD"</formula>
    </cfRule>
    <cfRule type="expression" priority="44" dxfId="1">
      <formula>$N$117="BD"</formula>
    </cfRule>
  </conditionalFormatting>
  <conditionalFormatting sqref="C31">
    <cfRule type="expression" priority="27" dxfId="0">
      <formula>$N$126="UD"</formula>
    </cfRule>
    <cfRule type="expression" priority="26" dxfId="1">
      <formula>$N$126="BD"</formula>
    </cfRule>
  </conditionalFormatting>
  <conditionalFormatting sqref="C34">
    <cfRule type="expression" priority="13" dxfId="0">
      <formula>$N$133="UD"</formula>
    </cfRule>
    <cfRule type="expression" priority="12" dxfId="1">
      <formula>$N$133="BD"</formula>
    </cfRule>
  </conditionalFormatting>
  <conditionalFormatting sqref="A12:J12 A15:J15 A18:J18 A21:J21 A24:J24 A27:J27 B9:I9 B30:I30 B32:I32 C6:H6 C33:H33">
    <cfRule type="cellIs" priority="182" operator="between" dxfId="515">
      <formula>0</formula>
      <formula>$A$3</formula>
    </cfRule>
    <cfRule type="cellIs" priority="181" operator="between" dxfId="514">
      <formula>$A$3</formula>
      <formula>$A$2</formula>
    </cfRule>
  </conditionalFormatting>
  <conditionalFormatting sqref="A12:J12 A15:J15 A18:J18 A21:J21 A24:J24 A27:J27 B9:I9 B30:I30 C6:H6 C33:H33">
    <cfRule type="cellIs" priority="180" operator="between" dxfId="188">
      <formula>$A$2</formula>
      <formula>$A$1</formula>
    </cfRule>
  </conditionalFormatting>
  <conditionalFormatting sqref="A14:J14 A17:J17 A20:J20 A23:J23 A26:J26 A29:J29 B11:I11 B32:I32 C8:H8 C35:H35">
    <cfRule type="cellIs" priority="1" operator="between" dxfId="512">
      <formula>$A$2</formula>
      <formula>$A$1</formula>
    </cfRule>
    <cfRule type="cellIs" priority="179" operator="between" dxfId="511">
      <formula>0</formula>
      <formula>$A$3</formula>
    </cfRule>
    <cfRule type="cellIs" priority="178" operator="between" dxfId="510">
      <formula>$A$3</formula>
      <formula>$A$2</formula>
    </cfRule>
  </conditionalFormatting>
  <conditionalFormatting sqref="D7">
    <cfRule type="expression" priority="175" dxfId="0">
      <formula>$N$52="UD"</formula>
    </cfRule>
    <cfRule type="expression" priority="174" dxfId="1">
      <formula>$N$52="BD"</formula>
    </cfRule>
  </conditionalFormatting>
  <conditionalFormatting sqref="D10">
    <cfRule type="expression" priority="161" dxfId="0">
      <formula>$N$59="UD"</formula>
    </cfRule>
    <cfRule type="expression" priority="160" dxfId="1">
      <formula>$N$59="BD"</formula>
    </cfRule>
  </conditionalFormatting>
  <conditionalFormatting sqref="D13">
    <cfRule type="expression" priority="143" dxfId="0">
      <formula>$N$68="UD"</formula>
    </cfRule>
    <cfRule type="expression" priority="142" dxfId="1">
      <formula>$N$68="BD"</formula>
    </cfRule>
  </conditionalFormatting>
  <conditionalFormatting sqref="D16">
    <cfRule type="expression" priority="122" dxfId="1">
      <formula>$N$78="BD"</formula>
    </cfRule>
    <cfRule type="expression" priority="123" dxfId="0">
      <formula>$N$78="UD"</formula>
    </cfRule>
  </conditionalFormatting>
  <conditionalFormatting sqref="D19">
    <cfRule type="expression" priority="103" dxfId="0">
      <formula>$N$88="UD"</formula>
    </cfRule>
    <cfRule type="expression" priority="102" dxfId="1">
      <formula>$N$88="BD"</formula>
    </cfRule>
  </conditionalFormatting>
  <conditionalFormatting sqref="D22">
    <cfRule type="expression" priority="82" dxfId="1">
      <formula>$N$98="BD"</formula>
    </cfRule>
    <cfRule type="expression" priority="83" dxfId="0">
      <formula>$N$98="UD"</formula>
    </cfRule>
  </conditionalFormatting>
  <conditionalFormatting sqref="D25">
    <cfRule type="expression" priority="63" dxfId="0">
      <formula>$N$108="UD"</formula>
    </cfRule>
    <cfRule type="expression" priority="62" dxfId="1">
      <formula>$N$108="BD"</formula>
    </cfRule>
  </conditionalFormatting>
  <conditionalFormatting sqref="D28">
    <cfRule type="expression" priority="43" dxfId="0">
      <formula>$N$118="UD"</formula>
    </cfRule>
    <cfRule type="expression" priority="42" dxfId="1">
      <formula>$N$118="BD"</formula>
    </cfRule>
  </conditionalFormatting>
  <conditionalFormatting sqref="D31">
    <cfRule type="expression" priority="25" dxfId="0">
      <formula>$N$127="UD"</formula>
    </cfRule>
    <cfRule type="expression" priority="24" dxfId="1">
      <formula>$N$127="BD"</formula>
    </cfRule>
  </conditionalFormatting>
  <conditionalFormatting sqref="D34">
    <cfRule type="expression" priority="11" dxfId="0">
      <formula>$N$134="UD"</formula>
    </cfRule>
    <cfRule type="expression" priority="10" dxfId="1">
      <formula>$N$134="BD"</formula>
    </cfRule>
  </conditionalFormatting>
  <conditionalFormatting sqref="E7">
    <cfRule type="expression" priority="172" dxfId="1">
      <formula>$N$53="BD"</formula>
    </cfRule>
    <cfRule type="expression" priority="173" dxfId="0">
      <formula>$N$53="UD"</formula>
    </cfRule>
  </conditionalFormatting>
  <conditionalFormatting sqref="E10">
    <cfRule type="expression" priority="159" dxfId="0">
      <formula>$N$60="UD"</formula>
    </cfRule>
    <cfRule type="expression" priority="158" dxfId="1">
      <formula>$N$60="BD"</formula>
    </cfRule>
  </conditionalFormatting>
  <conditionalFormatting sqref="E13">
    <cfRule type="expression" priority="141" dxfId="0">
      <formula>$N$69="UD"</formula>
    </cfRule>
    <cfRule type="expression" priority="140" dxfId="1">
      <formula>$N$69="BD"</formula>
    </cfRule>
  </conditionalFormatting>
  <conditionalFormatting sqref="E16">
    <cfRule type="expression" priority="121" dxfId="0">
      <formula>$N$79="UD"</formula>
    </cfRule>
    <cfRule type="expression" priority="120" dxfId="1">
      <formula>$N$79="BD"</formula>
    </cfRule>
  </conditionalFormatting>
  <conditionalFormatting sqref="E19">
    <cfRule type="expression" priority="101" dxfId="0">
      <formula>$N$89="UD"</formula>
    </cfRule>
    <cfRule type="expression" priority="100" dxfId="1">
      <formula>$N$89="BD"</formula>
    </cfRule>
  </conditionalFormatting>
  <conditionalFormatting sqref="E22">
    <cfRule type="expression" priority="81" dxfId="0">
      <formula>$N$99="UD"</formula>
    </cfRule>
    <cfRule type="expression" priority="80" dxfId="1">
      <formula>$N$99="BD"</formula>
    </cfRule>
  </conditionalFormatting>
  <conditionalFormatting sqref="E25">
    <cfRule type="expression" priority="60" dxfId="1">
      <formula>$N$109="BD"</formula>
    </cfRule>
    <cfRule type="expression" priority="61" dxfId="0">
      <formula>$N$109="UD"</formula>
    </cfRule>
  </conditionalFormatting>
  <conditionalFormatting sqref="E28">
    <cfRule type="expression" priority="40" dxfId="1">
      <formula>$N$119="BD"</formula>
    </cfRule>
    <cfRule type="expression" priority="41" dxfId="0">
      <formula>$N$119="UD"</formula>
    </cfRule>
  </conditionalFormatting>
  <conditionalFormatting sqref="E31">
    <cfRule type="expression" priority="23" dxfId="0">
      <formula>$N$128="UD"</formula>
    </cfRule>
    <cfRule type="expression" priority="22" dxfId="1">
      <formula>$N$128="BD"</formula>
    </cfRule>
  </conditionalFormatting>
  <conditionalFormatting sqref="E34">
    <cfRule type="expression" priority="8" dxfId="1">
      <formula>$N$135="BD"</formula>
    </cfRule>
    <cfRule type="expression" priority="9" dxfId="0">
      <formula>$N$135="UD"</formula>
    </cfRule>
  </conditionalFormatting>
  <conditionalFormatting sqref="F7">
    <cfRule type="expression" priority="170" dxfId="1">
      <formula>$N$54="BD"</formula>
    </cfRule>
    <cfRule type="expression" priority="171" dxfId="0">
      <formula>$N$54="UD"</formula>
    </cfRule>
  </conditionalFormatting>
  <conditionalFormatting sqref="F10">
    <cfRule type="expression" priority="156" dxfId="1">
      <formula>$N$61="BD"</formula>
    </cfRule>
    <cfRule type="expression" priority="157" dxfId="0">
      <formula>$N$61="UD"</formula>
    </cfRule>
  </conditionalFormatting>
  <conditionalFormatting sqref="F13">
    <cfRule type="expression" priority="138" dxfId="1">
      <formula>$N$70="BD"</formula>
    </cfRule>
    <cfRule type="expression" priority="139" dxfId="0">
      <formula>$N$70="UD"</formula>
    </cfRule>
  </conditionalFormatting>
  <conditionalFormatting sqref="F16">
    <cfRule type="expression" priority="119" dxfId="0">
      <formula>$N$80="UD"</formula>
    </cfRule>
    <cfRule type="expression" priority="118" dxfId="1">
      <formula>$N$80="BD"</formula>
    </cfRule>
  </conditionalFormatting>
  <conditionalFormatting sqref="F19">
    <cfRule type="expression" priority="99" dxfId="0">
      <formula>$N$90="UD"</formula>
    </cfRule>
    <cfRule type="expression" priority="98" dxfId="1">
      <formula>$N$90="BD"</formula>
    </cfRule>
  </conditionalFormatting>
  <conditionalFormatting sqref="F22">
    <cfRule type="expression" priority="78" dxfId="1">
      <formula>$N$100="BD"</formula>
    </cfRule>
    <cfRule type="expression" priority="79" dxfId="0">
      <formula>$N$100="UD"</formula>
    </cfRule>
  </conditionalFormatting>
  <conditionalFormatting sqref="F25">
    <cfRule type="expression" priority="59" dxfId="0">
      <formula>$N$110="UD"</formula>
    </cfRule>
    <cfRule type="expression" priority="58" dxfId="1">
      <formula>$N$110="BD"</formula>
    </cfRule>
  </conditionalFormatting>
  <conditionalFormatting sqref="F28">
    <cfRule type="expression" priority="38" dxfId="1">
      <formula>$N$120="BD"</formula>
    </cfRule>
    <cfRule type="expression" priority="39" dxfId="0">
      <formula>$N$120="UD"</formula>
    </cfRule>
  </conditionalFormatting>
  <conditionalFormatting sqref="F31">
    <cfRule type="expression" priority="21" dxfId="0">
      <formula>$N$129="UD"</formula>
    </cfRule>
    <cfRule type="expression" priority="20" dxfId="1">
      <formula>$N$129="BD"</formula>
    </cfRule>
  </conditionalFormatting>
  <conditionalFormatting sqref="F34">
    <cfRule type="expression" priority="7" dxfId="0">
      <formula>$N$136="UD"</formula>
    </cfRule>
    <cfRule type="expression" priority="6" dxfId="1">
      <formula>$N$136="BD"</formula>
    </cfRule>
  </conditionalFormatting>
  <conditionalFormatting sqref="G7">
    <cfRule type="expression" priority="168" dxfId="1">
      <formula>$N$55="BD"</formula>
    </cfRule>
    <cfRule type="expression" priority="169" dxfId="0">
      <formula>$N$55="UD"</formula>
    </cfRule>
  </conditionalFormatting>
  <conditionalFormatting sqref="G10">
    <cfRule type="expression" priority="154" dxfId="1">
      <formula>$N$62="BD"</formula>
    </cfRule>
    <cfRule type="expression" priority="155" dxfId="0">
      <formula>$N$62="UD"</formula>
    </cfRule>
  </conditionalFormatting>
  <conditionalFormatting sqref="G13">
    <cfRule type="expression" priority="137" dxfId="0">
      <formula>$N$71="UD"</formula>
    </cfRule>
    <cfRule type="expression" priority="136" dxfId="1">
      <formula>$N$71="BD"</formula>
    </cfRule>
  </conditionalFormatting>
  <conditionalFormatting sqref="G16">
    <cfRule type="expression" priority="116" dxfId="1">
      <formula>$N$81="BD"</formula>
    </cfRule>
    <cfRule type="expression" priority="117" dxfId="0">
      <formula>$N$81="UD"</formula>
    </cfRule>
  </conditionalFormatting>
  <conditionalFormatting sqref="G19">
    <cfRule type="expression" priority="96" dxfId="1">
      <formula>$N$91="BD"</formula>
    </cfRule>
    <cfRule type="expression" priority="97" dxfId="0">
      <formula>$N$91="UD"</formula>
    </cfRule>
  </conditionalFormatting>
  <conditionalFormatting sqref="G22">
    <cfRule type="expression" priority="76" dxfId="1">
      <formula>$N$101="BD"</formula>
    </cfRule>
    <cfRule type="expression" priority="77" dxfId="0">
      <formula>$N$101="UD"</formula>
    </cfRule>
  </conditionalFormatting>
  <conditionalFormatting sqref="G25">
    <cfRule type="expression" priority="57" dxfId="0">
      <formula>$N$111="UD"</formula>
    </cfRule>
    <cfRule type="expression" priority="56" dxfId="1">
      <formula>$N$111="BD"</formula>
    </cfRule>
  </conditionalFormatting>
  <conditionalFormatting sqref="G28">
    <cfRule type="expression" priority="37" dxfId="0">
      <formula>$N$121="UD"</formula>
    </cfRule>
    <cfRule type="expression" priority="36" dxfId="1">
      <formula>$N$121="BD"</formula>
    </cfRule>
  </conditionalFormatting>
  <conditionalFormatting sqref="G31">
    <cfRule type="expression" priority="19" dxfId="0">
      <formula>$N$130="UD"</formula>
    </cfRule>
    <cfRule type="expression" priority="18" dxfId="1">
      <formula>$N$130="BD"</formula>
    </cfRule>
  </conditionalFormatting>
  <conditionalFormatting sqref="G34">
    <cfRule type="expression" priority="4" dxfId="1">
      <formula>$N$137="BD"</formula>
    </cfRule>
    <cfRule type="expression" priority="5" dxfId="0">
      <formula>$N$137="UD"</formula>
    </cfRule>
  </conditionalFormatting>
  <conditionalFormatting sqref="H7">
    <cfRule type="expression" priority="167" dxfId="0">
      <formula>$N$56="UD"</formula>
    </cfRule>
    <cfRule type="expression" priority="166" dxfId="1">
      <formula>$N$56="BD"</formula>
    </cfRule>
  </conditionalFormatting>
  <conditionalFormatting sqref="H10">
    <cfRule type="expression" priority="152" dxfId="1">
      <formula>$N$63="BD"</formula>
    </cfRule>
    <cfRule type="expression" priority="153" dxfId="0">
      <formula>$N$63="UD"</formula>
    </cfRule>
  </conditionalFormatting>
  <conditionalFormatting sqref="H13">
    <cfRule type="expression" priority="134" dxfId="1">
      <formula>$N$72="BD"</formula>
    </cfRule>
    <cfRule type="expression" priority="135" dxfId="0">
      <formula>$N$72="UD"</formula>
    </cfRule>
  </conditionalFormatting>
  <conditionalFormatting sqref="H16">
    <cfRule type="expression" priority="114" dxfId="1">
      <formula>$N$82="BD"</formula>
    </cfRule>
    <cfRule type="expression" priority="115" dxfId="0">
      <formula>$N$82="UD"</formula>
    </cfRule>
  </conditionalFormatting>
  <conditionalFormatting sqref="H19">
    <cfRule type="expression" priority="95" dxfId="0">
      <formula>$N$92="UD"</formula>
    </cfRule>
    <cfRule type="expression" priority="94" dxfId="1">
      <formula>$N$92="BD"</formula>
    </cfRule>
  </conditionalFormatting>
  <conditionalFormatting sqref="H22">
    <cfRule type="expression" priority="74" dxfId="1">
      <formula>$N$102="BD"</formula>
    </cfRule>
    <cfRule type="expression" priority="75" dxfId="0">
      <formula>$N$102="UD"</formula>
    </cfRule>
  </conditionalFormatting>
  <conditionalFormatting sqref="H25">
    <cfRule type="expression" priority="55" dxfId="0">
      <formula>$N$112="UD"</formula>
    </cfRule>
    <cfRule type="expression" priority="54" dxfId="1">
      <formula>$N$112="BD"</formula>
    </cfRule>
  </conditionalFormatting>
  <conditionalFormatting sqref="H28">
    <cfRule type="expression" priority="35" dxfId="0">
      <formula>$N$122="UD"</formula>
    </cfRule>
    <cfRule type="expression" priority="34" dxfId="1">
      <formula>$N$122="BD"</formula>
    </cfRule>
  </conditionalFormatting>
  <conditionalFormatting sqref="H31">
    <cfRule type="expression" priority="17" dxfId="0">
      <formula>$N$131="UD"</formula>
    </cfRule>
    <cfRule type="expression" priority="16" dxfId="1">
      <formula>$N$131="BD"</formula>
    </cfRule>
  </conditionalFormatting>
  <conditionalFormatting sqref="H34">
    <cfRule type="expression" priority="2" dxfId="1">
      <formula>$N$138="BD"</formula>
    </cfRule>
    <cfRule type="expression" priority="3" dxfId="0">
      <formula>$N$138="UD"</formula>
    </cfRule>
  </conditionalFormatting>
  <conditionalFormatting sqref="I10">
    <cfRule type="expression" priority="150" dxfId="1">
      <formula>$N$64="BD"</formula>
    </cfRule>
    <cfRule type="expression" priority="151" dxfId="0">
      <formula>$N$64="UD"</formula>
    </cfRule>
  </conditionalFormatting>
  <conditionalFormatting sqref="I13">
    <cfRule type="expression" priority="132" dxfId="1">
      <formula>$N$73="BD"</formula>
    </cfRule>
    <cfRule type="expression" priority="133" dxfId="0">
      <formula>$N$73="UD"</formula>
    </cfRule>
  </conditionalFormatting>
  <conditionalFormatting sqref="I16">
    <cfRule type="expression" priority="113" dxfId="0">
      <formula>$N$83="UD"</formula>
    </cfRule>
    <cfRule type="expression" priority="112" dxfId="1">
      <formula>$N$83="BD"</formula>
    </cfRule>
  </conditionalFormatting>
  <conditionalFormatting sqref="I19">
    <cfRule type="expression" priority="92" dxfId="1">
      <formula>$N$93="BD"</formula>
    </cfRule>
    <cfRule type="expression" priority="93" dxfId="0">
      <formula>$N$93="UD"</formula>
    </cfRule>
  </conditionalFormatting>
  <conditionalFormatting sqref="I22">
    <cfRule type="expression" priority="72" dxfId="1">
      <formula>$N$103="BD"</formula>
    </cfRule>
    <cfRule type="expression" priority="73" dxfId="0">
      <formula>$N$103="UD"</formula>
    </cfRule>
  </conditionalFormatting>
  <conditionalFormatting sqref="I25">
    <cfRule type="expression" priority="53" dxfId="0">
      <formula>$N$113="UD"</formula>
    </cfRule>
    <cfRule type="expression" priority="52" dxfId="1">
      <formula>$N$113="BD"</formula>
    </cfRule>
  </conditionalFormatting>
  <conditionalFormatting sqref="I28">
    <cfRule type="expression" priority="32" dxfId="1">
      <formula>$N$123="BD"</formula>
    </cfRule>
    <cfRule type="expression" priority="33" dxfId="0">
      <formula>$N$123="UD"</formula>
    </cfRule>
  </conditionalFormatting>
  <conditionalFormatting sqref="I31">
    <cfRule type="expression" priority="15" dxfId="0">
      <formula>$N$132="UD"</formula>
    </cfRule>
    <cfRule type="expression" priority="14" dxfId="1">
      <formula>$N$132="BD"</formula>
    </cfRule>
  </conditionalFormatting>
  <conditionalFormatting sqref="J13">
    <cfRule type="expression" priority="130" dxfId="1">
      <formula>$N$74="BD"</formula>
    </cfRule>
    <cfRule type="expression" priority="131" dxfId="0">
      <formula>$N$74="UD"</formula>
    </cfRule>
  </conditionalFormatting>
  <conditionalFormatting sqref="J16">
    <cfRule type="expression" priority="111" dxfId="0">
      <formula>$N$84="UD"</formula>
    </cfRule>
    <cfRule type="expression" priority="110" dxfId="1">
      <formula>$N$84="BD"</formula>
    </cfRule>
  </conditionalFormatting>
  <conditionalFormatting sqref="J19">
    <cfRule type="expression" priority="90" dxfId="1">
      <formula>$N$94="BD"</formula>
    </cfRule>
    <cfRule type="expression" priority="91" dxfId="0">
      <formula>$N$94="UD"</formula>
    </cfRule>
  </conditionalFormatting>
  <conditionalFormatting sqref="J22">
    <cfRule type="expression" priority="71" dxfId="0">
      <formula>$N$104="UD"</formula>
    </cfRule>
    <cfRule type="expression" priority="70" dxfId="1">
      <formula>$N$104="BD"</formula>
    </cfRule>
  </conditionalFormatting>
  <conditionalFormatting sqref="J25">
    <cfRule type="expression" priority="51" dxfId="0">
      <formula>$N$114="UD"</formula>
    </cfRule>
    <cfRule type="expression" priority="50" dxfId="1">
      <formula>$N$114="BD"</formula>
    </cfRule>
  </conditionalFormatting>
  <conditionalFormatting sqref="J28">
    <cfRule type="expression" priority="31" dxfId="0">
      <formula>$N$124="UD"</formula>
    </cfRule>
    <cfRule type="expression" priority="30" dxfId="1">
      <formula>$N$124="BD"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4.6"/>
  <cols>
    <col width="8.84375" customWidth="1" min="1" max="1"/>
    <col width="8.84375" customWidth="1" style="41" min="2" max="2"/>
    <col width="8.84375" customWidth="1" style="41" min="3" max="3"/>
  </cols>
  <sheetData>
    <row r="1">
      <c r="A1">
        <f>_xlfn.CONCAT("WaferID=5L0F6E5-",IF(W!C2&lt;&gt;"",W!C2,"12345"),"_",IF(W!E2&lt;&gt;"",IF(LEN(W!E2)=1,"0"&amp;W!E2,W!E2),"67"))</f>
        <v/>
      </c>
      <c r="B1" s="45" t="n"/>
      <c r="C1" s="45" t="n"/>
    </row>
    <row r="2">
      <c r="A2" t="inlineStr">
        <is>
          <t>Part Number=IPAD01210AST</t>
        </is>
      </c>
      <c r="C2" s="45" t="n"/>
    </row>
    <row r="3">
      <c r="A3" t="inlineStr">
        <is>
          <t>Wafer Size=150 mm</t>
        </is>
      </c>
    </row>
    <row r="4">
      <c r="A4" t="inlineStr">
        <is>
          <t>XDIES=11.286 mm</t>
        </is>
      </c>
    </row>
    <row r="5">
      <c r="A5" t="inlineStr">
        <is>
          <t>YDIES=11.276 mm</t>
        </is>
      </c>
    </row>
    <row r="6">
      <c r="A6">
        <f>_xlfn.CONCAT("BinA=",COUNTIF(W!AA52:AA139,"A"))</f>
        <v/>
      </c>
    </row>
    <row r="7">
      <c r="A7" s="46">
        <f>IF(W!C2="","",_xlfn.CONCAT("..",W!AA52,W!AA53,W!AA54,W!AA55,W!AA56,W!AA57,".."))</f>
        <v/>
      </c>
    </row>
    <row r="8">
      <c r="A8" s="46">
        <f>IF(W!C2="","",_xlfn.CONCAT(".",W!AA58,W!AA59,W!AA60,W!AA61,W!AA62,W!AA63,W!AA64,W!AA65,"."))</f>
        <v/>
      </c>
    </row>
    <row r="9">
      <c r="A9" s="46">
        <f>_xlfn.CONCAT(W!AA66,W!AA67,W!AA68,W!AA69,W!AA70,W!AA71,W!AA72,W!AA73,W!AA74,W!AA75)</f>
        <v/>
      </c>
    </row>
    <row r="10">
      <c r="A10" s="46">
        <f>_xlfn.CONCAT(W!AA76,W!AA77,W!AA78,W!AA79,W!AA80,W!AA81,W!AA82,W!AA83,W!AA84,W!AA85)</f>
        <v/>
      </c>
    </row>
    <row r="11">
      <c r="A11" s="46">
        <f>_xlfn.CONCAT(W!AA86,W!AA87,W!AA88,W!AA89,W!AA90,W!AA91,W!AA92,W!AA93,W!AA94,W!AA95)</f>
        <v/>
      </c>
    </row>
    <row r="12">
      <c r="A12" s="46">
        <f>_xlfn.CONCAT(W!AA96,W!AA97,W!AA98,W!AA99,W!AA100,W!AA101,W!AA102,W!AA103,W!AA104,W!AA105)</f>
        <v/>
      </c>
    </row>
    <row r="13">
      <c r="A13" s="46">
        <f>_xlfn.CONCAT(W!AA106,W!AA107,W!AA108,W!AA109,W!AA110,W!AA111,W!AA112,W!AA113,W!AA114,W!AA115)</f>
        <v/>
      </c>
    </row>
    <row r="14">
      <c r="A14" s="46">
        <f>_xlfn.CONCAT(W!AA116,W!AA117,W!AA118,W!AA119,W!AA120,W!AA121,W!AA122,W!AA123,W!AA124,W!AA125)</f>
        <v/>
      </c>
    </row>
    <row r="15">
      <c r="A15" s="46">
        <f>IF(W!C2="","",_xlfn.CONCAT(".",W!AA126,W!AA127,W!AA128,W!AA129,W!AA130,W!AA131,W!AA132,W!AA133,"."))</f>
        <v/>
      </c>
    </row>
    <row r="16">
      <c r="A16" s="46">
        <f>IF(W!C2="","",_xlfn.CONCAT("..",W!AA134,W!AA135,W!AA136,W!AA137,W!AA138,W!AA139,".."))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 Templeton</dc:creator>
  <dcterms:created xsi:type="dcterms:W3CDTF">2023-05-02T19:57:00Z</dcterms:created>
  <dcterms:modified xsi:type="dcterms:W3CDTF">2024-10-24T18:15:55Z</dcterms:modified>
  <cp:lastModifiedBy>Joe Templeton</cp:lastModifiedBy>
  <cp:lastPrinted>2023-05-23T20:53:04Z</cp:lastPrinted>
</cp:coreProperties>
</file>