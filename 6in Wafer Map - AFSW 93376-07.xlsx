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dealpowerinc-my.sharepoint.com/personal/leonardo_viana_idealpower_com/Documents/Desktop/excel_replica/"/>
    </mc:Choice>
  </mc:AlternateContent>
  <xr:revisionPtr revIDLastSave="1" documentId="11_C7283B275F59F36B4EDC5AE585733DDEB2DC0013" xr6:coauthVersionLast="47" xr6:coauthVersionMax="47" xr10:uidLastSave="{1223B78B-3F47-4DE2-92B6-CD551259E92E}"/>
  <bookViews>
    <workbookView xWindow="-120" yWindow="-120" windowWidth="29040" windowHeight="15720" xr2:uid="{00000000-000D-0000-FFFF-FFFF00000000}"/>
  </bookViews>
  <sheets>
    <sheet name="W" sheetId="1" r:id="rId1"/>
    <sheet name="E1E2-E2E1" sheetId="2" r:id="rId2"/>
    <sheet name="txtformat" sheetId="3" state="hidden" r:id="rId3"/>
  </sheets>
  <definedNames>
    <definedName name="_xlnm.Print_Area" localSheetId="0">W!$A$1:$Y$42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A1" i="3"/>
  <c r="N139" i="2"/>
  <c r="N64" i="2"/>
  <c r="N63" i="2"/>
  <c r="N58" i="2"/>
  <c r="H35" i="2"/>
  <c r="G35" i="2"/>
  <c r="F35" i="2"/>
  <c r="E35" i="2"/>
  <c r="D35" i="2"/>
  <c r="C35" i="2"/>
  <c r="H33" i="2"/>
  <c r="G33" i="2"/>
  <c r="F33" i="2"/>
  <c r="E33" i="2"/>
  <c r="D33" i="2"/>
  <c r="C33" i="2"/>
  <c r="I32" i="2"/>
  <c r="H32" i="2"/>
  <c r="G32" i="2"/>
  <c r="F32" i="2"/>
  <c r="E32" i="2"/>
  <c r="D32" i="2"/>
  <c r="C32" i="2"/>
  <c r="B32" i="2"/>
  <c r="I30" i="2"/>
  <c r="H30" i="2"/>
  <c r="G30" i="2"/>
  <c r="F30" i="2"/>
  <c r="E30" i="2"/>
  <c r="D30" i="2"/>
  <c r="C30" i="2"/>
  <c r="B30" i="2"/>
  <c r="J29" i="2"/>
  <c r="I29" i="2"/>
  <c r="H29" i="2"/>
  <c r="G29" i="2"/>
  <c r="F29" i="2"/>
  <c r="E29" i="2"/>
  <c r="D29" i="2"/>
  <c r="C29" i="2"/>
  <c r="B29" i="2"/>
  <c r="A29" i="2"/>
  <c r="J27" i="2"/>
  <c r="I27" i="2"/>
  <c r="H27" i="2"/>
  <c r="G27" i="2"/>
  <c r="F27" i="2"/>
  <c r="E27" i="2"/>
  <c r="D27" i="2"/>
  <c r="C27" i="2"/>
  <c r="B27" i="2"/>
  <c r="A27" i="2"/>
  <c r="J26" i="2"/>
  <c r="I26" i="2"/>
  <c r="H26" i="2"/>
  <c r="G26" i="2"/>
  <c r="F26" i="2"/>
  <c r="E26" i="2"/>
  <c r="D26" i="2"/>
  <c r="C26" i="2"/>
  <c r="B26" i="2"/>
  <c r="A26" i="2"/>
  <c r="J24" i="2"/>
  <c r="I24" i="2"/>
  <c r="H24" i="2"/>
  <c r="G24" i="2"/>
  <c r="F24" i="2"/>
  <c r="E24" i="2"/>
  <c r="D24" i="2"/>
  <c r="C24" i="2"/>
  <c r="B24" i="2"/>
  <c r="A24" i="2"/>
  <c r="J23" i="2"/>
  <c r="I23" i="2"/>
  <c r="H23" i="2"/>
  <c r="G23" i="2"/>
  <c r="F23" i="2"/>
  <c r="E23" i="2"/>
  <c r="D23" i="2"/>
  <c r="C23" i="2"/>
  <c r="B23" i="2"/>
  <c r="A23" i="2"/>
  <c r="J21" i="2"/>
  <c r="I21" i="2"/>
  <c r="H21" i="2"/>
  <c r="G21" i="2"/>
  <c r="F21" i="2"/>
  <c r="E21" i="2"/>
  <c r="D21" i="2"/>
  <c r="C21" i="2"/>
  <c r="B21" i="2"/>
  <c r="A21" i="2"/>
  <c r="J20" i="2"/>
  <c r="I20" i="2"/>
  <c r="H20" i="2"/>
  <c r="G20" i="2"/>
  <c r="F20" i="2"/>
  <c r="E20" i="2"/>
  <c r="D20" i="2"/>
  <c r="C20" i="2"/>
  <c r="B20" i="2"/>
  <c r="A20" i="2"/>
  <c r="J18" i="2"/>
  <c r="I18" i="2"/>
  <c r="H18" i="2"/>
  <c r="G18" i="2"/>
  <c r="F18" i="2"/>
  <c r="E18" i="2"/>
  <c r="D18" i="2"/>
  <c r="C18" i="2"/>
  <c r="B18" i="2"/>
  <c r="A18" i="2"/>
  <c r="J17" i="2"/>
  <c r="I17" i="2"/>
  <c r="H17" i="2"/>
  <c r="G17" i="2"/>
  <c r="F17" i="2"/>
  <c r="E17" i="2"/>
  <c r="D17" i="2"/>
  <c r="C17" i="2"/>
  <c r="B17" i="2"/>
  <c r="A17" i="2"/>
  <c r="J15" i="2"/>
  <c r="I15" i="2"/>
  <c r="H15" i="2"/>
  <c r="G15" i="2"/>
  <c r="F15" i="2"/>
  <c r="E15" i="2"/>
  <c r="D15" i="2"/>
  <c r="C15" i="2"/>
  <c r="B15" i="2"/>
  <c r="A15" i="2"/>
  <c r="J14" i="2"/>
  <c r="I14" i="2"/>
  <c r="H14" i="2"/>
  <c r="G14" i="2"/>
  <c r="F14" i="2"/>
  <c r="E14" i="2"/>
  <c r="D14" i="2"/>
  <c r="C14" i="2"/>
  <c r="B14" i="2"/>
  <c r="A14" i="2"/>
  <c r="J12" i="2"/>
  <c r="I12" i="2"/>
  <c r="H12" i="2"/>
  <c r="G12" i="2"/>
  <c r="F12" i="2"/>
  <c r="E12" i="2"/>
  <c r="D12" i="2"/>
  <c r="C12" i="2"/>
  <c r="B12" i="2"/>
  <c r="A12" i="2"/>
  <c r="I11" i="2"/>
  <c r="H11" i="2"/>
  <c r="G11" i="2"/>
  <c r="F11" i="2"/>
  <c r="E11" i="2"/>
  <c r="D11" i="2"/>
  <c r="C11" i="2"/>
  <c r="B11" i="2"/>
  <c r="I9" i="2"/>
  <c r="H9" i="2"/>
  <c r="G9" i="2"/>
  <c r="F9" i="2"/>
  <c r="E9" i="2"/>
  <c r="D9" i="2"/>
  <c r="C9" i="2"/>
  <c r="B9" i="2"/>
  <c r="H8" i="2"/>
  <c r="G8" i="2"/>
  <c r="F8" i="2"/>
  <c r="E8" i="2"/>
  <c r="D8" i="2"/>
  <c r="H6" i="2"/>
  <c r="G6" i="2"/>
  <c r="F6" i="2"/>
  <c r="E6" i="2"/>
  <c r="D6" i="2"/>
  <c r="C6" i="2"/>
  <c r="A3" i="2"/>
  <c r="A2" i="2"/>
  <c r="A1" i="2"/>
  <c r="I65" i="1"/>
  <c r="G65" i="1"/>
  <c r="F65" i="1"/>
  <c r="N65" i="1" s="1"/>
  <c r="N64" i="1"/>
  <c r="J64" i="1"/>
  <c r="I64" i="1"/>
  <c r="H64" i="1"/>
  <c r="G64" i="1"/>
  <c r="F64" i="1"/>
  <c r="D64" i="1"/>
  <c r="D65" i="1" s="1"/>
  <c r="D67" i="1" s="1"/>
  <c r="G63" i="1"/>
  <c r="I63" i="1" s="1"/>
  <c r="F63" i="1"/>
  <c r="H63" i="1" s="1"/>
  <c r="J63" i="1" s="1"/>
  <c r="G62" i="1"/>
  <c r="I62" i="1" s="1"/>
  <c r="F62" i="1"/>
  <c r="N62" i="1" s="1"/>
  <c r="N61" i="1"/>
  <c r="N60" i="2" s="1"/>
  <c r="J61" i="1"/>
  <c r="I61" i="1"/>
  <c r="H61" i="1"/>
  <c r="G61" i="1"/>
  <c r="F61" i="1"/>
  <c r="N60" i="1"/>
  <c r="N59" i="2" s="1"/>
  <c r="I60" i="1"/>
  <c r="H60" i="1"/>
  <c r="J60" i="1" s="1"/>
  <c r="G60" i="1"/>
  <c r="F60" i="1"/>
  <c r="G59" i="1"/>
  <c r="I59" i="1" s="1"/>
  <c r="F59" i="1"/>
  <c r="N59" i="1" s="1"/>
  <c r="D59" i="1"/>
  <c r="D60" i="1" s="1"/>
  <c r="D61" i="1" s="1"/>
  <c r="D62" i="1" s="1"/>
  <c r="D63" i="1" s="1"/>
  <c r="N58" i="1"/>
  <c r="H58" i="1"/>
  <c r="J58" i="1" s="1"/>
  <c r="G58" i="1"/>
  <c r="I58" i="1" s="1"/>
  <c r="F58" i="1"/>
  <c r="A52" i="1"/>
  <c r="S41" i="1"/>
  <c r="S40" i="1"/>
  <c r="A38" i="1"/>
  <c r="C4" i="1"/>
  <c r="G96" i="1" a="1"/>
  <c r="F56" i="1" a="1"/>
  <c r="F52" i="1" a="1"/>
  <c r="F96" i="1" a="1"/>
  <c r="F86" i="1" a="1"/>
  <c r="G55" i="1" a="1"/>
  <c r="G126" i="1" a="1"/>
  <c r="G76" i="1" a="1"/>
  <c r="F55" i="1" a="1"/>
  <c r="G134" i="1" a="1"/>
  <c r="F126" i="1" a="1"/>
  <c r="F76" i="1" a="1"/>
  <c r="G106" i="1" a="1"/>
  <c r="F116" i="1" a="1"/>
  <c r="G56" i="1" a="1"/>
  <c r="G54" i="1" a="1"/>
  <c r="F66" i="1" a="1"/>
  <c r="F53" i="1" a="1"/>
  <c r="F106" i="1" a="1"/>
  <c r="G86" i="1" a="1"/>
  <c r="G52" i="1" a="1"/>
  <c r="G57" i="1" a="1"/>
  <c r="F54" i="1" a="1"/>
  <c r="G116" i="1" a="1"/>
  <c r="F134" i="1" a="1"/>
  <c r="F57" i="1" a="1"/>
  <c r="G66" i="1" a="1"/>
  <c r="G53" i="1" a="1"/>
  <c r="G53" i="1" l="1"/>
  <c r="I53" i="1" s="1"/>
  <c r="G66" i="1"/>
  <c r="I66" i="1" s="1"/>
  <c r="F57" i="1"/>
  <c r="F134" i="1"/>
  <c r="G116" i="1"/>
  <c r="I116" i="1" s="1"/>
  <c r="F54" i="1"/>
  <c r="G57" i="1"/>
  <c r="I57" i="1" s="1"/>
  <c r="G52" i="1"/>
  <c r="G86" i="1"/>
  <c r="I86" i="1" s="1"/>
  <c r="F106" i="1"/>
  <c r="F53" i="1"/>
  <c r="F66" i="1"/>
  <c r="G54" i="1"/>
  <c r="I54" i="1" s="1"/>
  <c r="G56" i="1"/>
  <c r="I56" i="1" s="1"/>
  <c r="F116" i="1"/>
  <c r="G106" i="1"/>
  <c r="I106" i="1" s="1"/>
  <c r="F76" i="1"/>
  <c r="F126" i="1"/>
  <c r="G134" i="1"/>
  <c r="I134" i="1" s="1"/>
  <c r="F55" i="1"/>
  <c r="G76" i="1"/>
  <c r="I76" i="1" s="1"/>
  <c r="G126" i="1"/>
  <c r="I126" i="1" s="1"/>
  <c r="G55" i="1"/>
  <c r="I55" i="1" s="1"/>
  <c r="F86" i="1"/>
  <c r="F96" i="1"/>
  <c r="F52" i="1"/>
  <c r="F56" i="1"/>
  <c r="G96" i="1"/>
  <c r="I96" i="1" s="1"/>
  <c r="D68" i="1"/>
  <c r="H62" i="1"/>
  <c r="J62" i="1" s="1"/>
  <c r="N61" i="2"/>
  <c r="H59" i="1"/>
  <c r="J59" i="1" s="1"/>
  <c r="N57" i="2"/>
  <c r="N63" i="1"/>
  <c r="H65" i="1"/>
  <c r="J65" i="1" s="1"/>
  <c r="F67" i="1" a="1"/>
  <c r="G67" i="1" a="1"/>
  <c r="G67" i="1" l="1"/>
  <c r="I67" i="1" s="1"/>
  <c r="F67" i="1"/>
  <c r="N66" i="1"/>
  <c r="H66" i="1"/>
  <c r="J66" i="1" s="1"/>
  <c r="H53" i="1"/>
  <c r="J53" i="1" s="1"/>
  <c r="N53" i="1"/>
  <c r="N106" i="1"/>
  <c r="H106" i="1"/>
  <c r="J106" i="1" s="1"/>
  <c r="I52" i="1"/>
  <c r="D69" i="1"/>
  <c r="H126" i="1"/>
  <c r="J126" i="1" s="1"/>
  <c r="N126" i="1"/>
  <c r="N76" i="1"/>
  <c r="H76" i="1"/>
  <c r="J76" i="1" s="1"/>
  <c r="H134" i="1"/>
  <c r="J134" i="1" s="1"/>
  <c r="N134" i="1"/>
  <c r="H56" i="1"/>
  <c r="J56" i="1" s="1"/>
  <c r="N56" i="1"/>
  <c r="N116" i="1"/>
  <c r="H116" i="1"/>
  <c r="J116" i="1" s="1"/>
  <c r="H57" i="1"/>
  <c r="J57" i="1" s="1"/>
  <c r="N57" i="1"/>
  <c r="H86" i="1"/>
  <c r="J86" i="1" s="1"/>
  <c r="N86" i="1"/>
  <c r="N62" i="2"/>
  <c r="H52" i="1"/>
  <c r="N52" i="1"/>
  <c r="H55" i="1"/>
  <c r="J55" i="1" s="1"/>
  <c r="N55" i="1"/>
  <c r="N54" i="1"/>
  <c r="H54" i="1"/>
  <c r="J54" i="1" s="1"/>
  <c r="N96" i="1"/>
  <c r="H96" i="1"/>
  <c r="J96" i="1" s="1"/>
  <c r="F68" i="1" a="1"/>
  <c r="G68" i="1" a="1"/>
  <c r="G68" i="1" l="1"/>
  <c r="F68" i="1"/>
  <c r="N51" i="2"/>
  <c r="J52" i="1"/>
  <c r="N133" i="2"/>
  <c r="N105" i="2"/>
  <c r="N75" i="2"/>
  <c r="N52" i="2"/>
  <c r="N95" i="2"/>
  <c r="N85" i="2"/>
  <c r="N125" i="2"/>
  <c r="N115" i="2"/>
  <c r="N55" i="2"/>
  <c r="N53" i="2"/>
  <c r="N56" i="2"/>
  <c r="D70" i="1"/>
  <c r="N65" i="2"/>
  <c r="N54" i="2"/>
  <c r="H67" i="1"/>
  <c r="J67" i="1" s="1"/>
  <c r="N67" i="1"/>
  <c r="G69" i="1" a="1"/>
  <c r="F69" i="1" a="1"/>
  <c r="F69" i="1" l="1"/>
  <c r="G69" i="1"/>
  <c r="D71" i="1"/>
  <c r="N66" i="2"/>
  <c r="H68" i="1"/>
  <c r="N68" i="1"/>
  <c r="I68" i="1"/>
  <c r="F70" i="1" a="1"/>
  <c r="G70" i="1" a="1"/>
  <c r="G70" i="1" l="1"/>
  <c r="F70" i="1"/>
  <c r="D72" i="1"/>
  <c r="N67" i="2"/>
  <c r="J68" i="1"/>
  <c r="I69" i="1"/>
  <c r="H69" i="1"/>
  <c r="N69" i="1"/>
  <c r="G71" i="1" a="1"/>
  <c r="F71" i="1" a="1"/>
  <c r="F71" i="1" l="1"/>
  <c r="G71" i="1"/>
  <c r="I71" i="1" s="1"/>
  <c r="N68" i="2"/>
  <c r="J69" i="1"/>
  <c r="D73" i="1"/>
  <c r="N70" i="1"/>
  <c r="H70" i="1"/>
  <c r="I70" i="1"/>
  <c r="F72" i="1" a="1"/>
  <c r="G72" i="1" a="1"/>
  <c r="G72" i="1" l="1"/>
  <c r="I72" i="1" s="1"/>
  <c r="F72" i="1"/>
  <c r="D74" i="1"/>
  <c r="N69" i="2"/>
  <c r="J70" i="1"/>
  <c r="H71" i="1"/>
  <c r="J71" i="1" s="1"/>
  <c r="N71" i="1"/>
  <c r="F73" i="1" a="1"/>
  <c r="G73" i="1" a="1"/>
  <c r="G73" i="1" l="1"/>
  <c r="F73" i="1"/>
  <c r="N70" i="2"/>
  <c r="D75" i="1"/>
  <c r="H72" i="1"/>
  <c r="J72" i="1" s="1"/>
  <c r="N72" i="1"/>
  <c r="G74" i="1" a="1"/>
  <c r="F74" i="1" a="1"/>
  <c r="F74" i="1" l="1"/>
  <c r="G74" i="1"/>
  <c r="I74" i="1" s="1"/>
  <c r="D77" i="1"/>
  <c r="N71" i="2"/>
  <c r="N73" i="1"/>
  <c r="H73" i="1"/>
  <c r="I73" i="1"/>
  <c r="F75" i="1" a="1"/>
  <c r="G75" i="1" a="1"/>
  <c r="G75" i="1" l="1"/>
  <c r="I75" i="1" s="1"/>
  <c r="F75" i="1"/>
  <c r="D78" i="1"/>
  <c r="J73" i="1"/>
  <c r="N72" i="2"/>
  <c r="H74" i="1"/>
  <c r="J74" i="1" s="1"/>
  <c r="N74" i="1"/>
  <c r="F77" i="1" a="1"/>
  <c r="G77" i="1" a="1"/>
  <c r="G77" i="1" l="1"/>
  <c r="I77" i="1" s="1"/>
  <c r="F77" i="1"/>
  <c r="D79" i="1"/>
  <c r="H75" i="1"/>
  <c r="J75" i="1" s="1"/>
  <c r="N75" i="1"/>
  <c r="N73" i="2"/>
  <c r="F78" i="1" a="1"/>
  <c r="G78" i="1" a="1"/>
  <c r="G78" i="1" l="1"/>
  <c r="I78" i="1" s="1"/>
  <c r="F78" i="1"/>
  <c r="N77" i="1"/>
  <c r="H77" i="1"/>
  <c r="J77" i="1" s="1"/>
  <c r="N74" i="2"/>
  <c r="D80" i="1"/>
  <c r="F79" i="1" a="1"/>
  <c r="G79" i="1" a="1"/>
  <c r="G79" i="1" l="1"/>
  <c r="I79" i="1" s="1"/>
  <c r="F79" i="1"/>
  <c r="D81" i="1"/>
  <c r="N76" i="2"/>
  <c r="H78" i="1"/>
  <c r="J78" i="1" s="1"/>
  <c r="N78" i="1"/>
  <c r="G80" i="1" a="1"/>
  <c r="F80" i="1" a="1"/>
  <c r="F80" i="1" l="1"/>
  <c r="G80" i="1"/>
  <c r="I80" i="1" s="1"/>
  <c r="N77" i="2"/>
  <c r="D82" i="1"/>
  <c r="N79" i="1"/>
  <c r="H79" i="1"/>
  <c r="J79" i="1" s="1"/>
  <c r="F81" i="1" a="1"/>
  <c r="G81" i="1" a="1"/>
  <c r="G81" i="1" l="1"/>
  <c r="I81" i="1" s="1"/>
  <c r="F81" i="1"/>
  <c r="D83" i="1"/>
  <c r="N78" i="2"/>
  <c r="H80" i="1"/>
  <c r="J80" i="1" s="1"/>
  <c r="N80" i="1"/>
  <c r="G82" i="1" a="1"/>
  <c r="F82" i="1" a="1"/>
  <c r="F82" i="1" l="1"/>
  <c r="G82" i="1"/>
  <c r="I82" i="1" s="1"/>
  <c r="N81" i="1"/>
  <c r="H81" i="1"/>
  <c r="J81" i="1" s="1"/>
  <c r="N79" i="2"/>
  <c r="D84" i="1"/>
  <c r="G83" i="1" a="1"/>
  <c r="F83" i="1" a="1"/>
  <c r="F83" i="1" l="1"/>
  <c r="G83" i="1"/>
  <c r="I83" i="1" s="1"/>
  <c r="N80" i="2"/>
  <c r="D85" i="1"/>
  <c r="N82" i="1"/>
  <c r="H82" i="1"/>
  <c r="J82" i="1" s="1"/>
  <c r="F84" i="1" a="1"/>
  <c r="G84" i="1" a="1"/>
  <c r="G84" i="1" l="1"/>
  <c r="I84" i="1" s="1"/>
  <c r="F84" i="1"/>
  <c r="N81" i="2"/>
  <c r="D87" i="1"/>
  <c r="H83" i="1"/>
  <c r="J83" i="1" s="1"/>
  <c r="N83" i="1"/>
  <c r="G85" i="1" a="1"/>
  <c r="F85" i="1" a="1"/>
  <c r="F85" i="1" l="1"/>
  <c r="G85" i="1"/>
  <c r="I85" i="1" s="1"/>
  <c r="D88" i="1"/>
  <c r="N82" i="2"/>
  <c r="H84" i="1"/>
  <c r="J84" i="1" s="1"/>
  <c r="N84" i="1"/>
  <c r="F87" i="1" a="1"/>
  <c r="G87" i="1" a="1"/>
  <c r="G87" i="1" l="1"/>
  <c r="I87" i="1" s="1"/>
  <c r="F87" i="1"/>
  <c r="N83" i="2"/>
  <c r="N85" i="1"/>
  <c r="H85" i="1"/>
  <c r="J85" i="1" s="1"/>
  <c r="D89" i="1"/>
  <c r="F88" i="1" a="1"/>
  <c r="G88" i="1" a="1"/>
  <c r="G88" i="1" l="1"/>
  <c r="I88" i="1" s="1"/>
  <c r="F88" i="1"/>
  <c r="D90" i="1"/>
  <c r="N84" i="2"/>
  <c r="N87" i="1"/>
  <c r="H87" i="1"/>
  <c r="J87" i="1" s="1"/>
  <c r="G89" i="1" a="1"/>
  <c r="F89" i="1" a="1"/>
  <c r="F89" i="1" l="1"/>
  <c r="G89" i="1"/>
  <c r="I89" i="1" s="1"/>
  <c r="N86" i="2"/>
  <c r="D91" i="1"/>
  <c r="N88" i="1"/>
  <c r="H88" i="1"/>
  <c r="J88" i="1" s="1"/>
  <c r="G90" i="1" a="1"/>
  <c r="F90" i="1" a="1"/>
  <c r="F90" i="1" l="1"/>
  <c r="G90" i="1"/>
  <c r="I90" i="1" s="1"/>
  <c r="N87" i="2"/>
  <c r="D92" i="1"/>
  <c r="H89" i="1"/>
  <c r="J89" i="1" s="1"/>
  <c r="N89" i="1"/>
  <c r="G91" i="1" a="1"/>
  <c r="F91" i="1" a="1"/>
  <c r="F91" i="1" l="1"/>
  <c r="G91" i="1"/>
  <c r="I91" i="1" s="1"/>
  <c r="D93" i="1"/>
  <c r="N88" i="2"/>
  <c r="N90" i="1"/>
  <c r="H90" i="1"/>
  <c r="J90" i="1" s="1"/>
  <c r="F92" i="1" a="1"/>
  <c r="G92" i="1" a="1"/>
  <c r="G92" i="1" l="1"/>
  <c r="I92" i="1" s="1"/>
  <c r="F92" i="1"/>
  <c r="D94" i="1"/>
  <c r="N89" i="2"/>
  <c r="H91" i="1"/>
  <c r="J91" i="1" s="1"/>
  <c r="N91" i="1"/>
  <c r="F93" i="1" a="1"/>
  <c r="G93" i="1" a="1"/>
  <c r="G93" i="1" l="1"/>
  <c r="I93" i="1" s="1"/>
  <c r="F93" i="1"/>
  <c r="H92" i="1"/>
  <c r="J92" i="1" s="1"/>
  <c r="N92" i="1"/>
  <c r="D95" i="1"/>
  <c r="N90" i="2"/>
  <c r="G94" i="1" a="1"/>
  <c r="F94" i="1" a="1"/>
  <c r="F94" i="1" l="1"/>
  <c r="G94" i="1"/>
  <c r="I94" i="1" s="1"/>
  <c r="N91" i="2"/>
  <c r="D97" i="1"/>
  <c r="N93" i="1"/>
  <c r="H93" i="1"/>
  <c r="J93" i="1" s="1"/>
  <c r="G95" i="1" a="1"/>
  <c r="F95" i="1" a="1"/>
  <c r="F95" i="1" l="1"/>
  <c r="G95" i="1"/>
  <c r="I95" i="1" s="1"/>
  <c r="D98" i="1"/>
  <c r="N92" i="2"/>
  <c r="H94" i="1"/>
  <c r="J94" i="1" s="1"/>
  <c r="N94" i="1"/>
  <c r="G97" i="1" a="1"/>
  <c r="F97" i="1" a="1"/>
  <c r="F97" i="1" l="1"/>
  <c r="G97" i="1"/>
  <c r="I97" i="1" s="1"/>
  <c r="N93" i="2"/>
  <c r="D99" i="1"/>
  <c r="N95" i="1"/>
  <c r="H95" i="1"/>
  <c r="J95" i="1" s="1"/>
  <c r="F98" i="1" a="1"/>
  <c r="G98" i="1" a="1"/>
  <c r="G98" i="1" l="1"/>
  <c r="I98" i="1" s="1"/>
  <c r="F98" i="1"/>
  <c r="D100" i="1"/>
  <c r="N94" i="2"/>
  <c r="H97" i="1"/>
  <c r="J97" i="1" s="1"/>
  <c r="N97" i="1"/>
  <c r="F99" i="1" a="1"/>
  <c r="G99" i="1" a="1"/>
  <c r="G99" i="1" l="1"/>
  <c r="I99" i="1" s="1"/>
  <c r="F99" i="1"/>
  <c r="D101" i="1"/>
  <c r="N98" i="1"/>
  <c r="H98" i="1"/>
  <c r="J98" i="1" s="1"/>
  <c r="N96" i="2"/>
  <c r="F100" i="1" a="1"/>
  <c r="G100" i="1" a="1"/>
  <c r="G100" i="1" l="1"/>
  <c r="I100" i="1" s="1"/>
  <c r="F100" i="1"/>
  <c r="N99" i="1"/>
  <c r="H99" i="1"/>
  <c r="J99" i="1" s="1"/>
  <c r="N97" i="2"/>
  <c r="D102" i="1"/>
  <c r="F101" i="1" a="1"/>
  <c r="G101" i="1" a="1"/>
  <c r="G101" i="1" l="1"/>
  <c r="I101" i="1" s="1"/>
  <c r="F101" i="1"/>
  <c r="D103" i="1"/>
  <c r="N98" i="2"/>
  <c r="H100" i="1"/>
  <c r="J100" i="1" s="1"/>
  <c r="N100" i="1"/>
  <c r="G102" i="1" a="1"/>
  <c r="F102" i="1" a="1"/>
  <c r="F102" i="1" l="1"/>
  <c r="G102" i="1"/>
  <c r="I102" i="1" s="1"/>
  <c r="N101" i="1"/>
  <c r="H101" i="1"/>
  <c r="J101" i="1" s="1"/>
  <c r="D104" i="1"/>
  <c r="N99" i="2"/>
  <c r="G103" i="1" a="1"/>
  <c r="F103" i="1" a="1"/>
  <c r="F103" i="1" l="1"/>
  <c r="G103" i="1"/>
  <c r="I103" i="1" s="1"/>
  <c r="D105" i="1"/>
  <c r="N100" i="2"/>
  <c r="H102" i="1"/>
  <c r="J102" i="1" s="1"/>
  <c r="N102" i="1"/>
  <c r="F104" i="1" a="1"/>
  <c r="G104" i="1" a="1"/>
  <c r="G104" i="1" l="1"/>
  <c r="I104" i="1" s="1"/>
  <c r="F104" i="1"/>
  <c r="N101" i="2"/>
  <c r="D107" i="1"/>
  <c r="H103" i="1"/>
  <c r="J103" i="1" s="1"/>
  <c r="N103" i="1"/>
  <c r="G105" i="1" a="1"/>
  <c r="F105" i="1" a="1"/>
  <c r="F105" i="1" l="1"/>
  <c r="G105" i="1"/>
  <c r="I105" i="1" s="1"/>
  <c r="D108" i="1"/>
  <c r="N102" i="2"/>
  <c r="N104" i="1"/>
  <c r="H104" i="1"/>
  <c r="J104" i="1" s="1"/>
  <c r="F107" i="1" a="1"/>
  <c r="G107" i="1" a="1"/>
  <c r="G107" i="1" l="1"/>
  <c r="I107" i="1" s="1"/>
  <c r="F107" i="1"/>
  <c r="N105" i="1"/>
  <c r="H105" i="1"/>
  <c r="J105" i="1" s="1"/>
  <c r="N103" i="2"/>
  <c r="D109" i="1"/>
  <c r="G108" i="1" a="1"/>
  <c r="F108" i="1" a="1"/>
  <c r="F108" i="1" l="1"/>
  <c r="G108" i="1"/>
  <c r="I108" i="1" s="1"/>
  <c r="N104" i="2"/>
  <c r="D110" i="1"/>
  <c r="H107" i="1"/>
  <c r="J107" i="1" s="1"/>
  <c r="N107" i="1"/>
  <c r="F109" i="1" a="1"/>
  <c r="G109" i="1" a="1"/>
  <c r="G109" i="1" l="1"/>
  <c r="I109" i="1" s="1"/>
  <c r="F109" i="1"/>
  <c r="N106" i="2"/>
  <c r="D111" i="1"/>
  <c r="H108" i="1"/>
  <c r="J108" i="1" s="1"/>
  <c r="N108" i="1"/>
  <c r="F110" i="1" a="1"/>
  <c r="G110" i="1" a="1"/>
  <c r="G110" i="1" l="1"/>
  <c r="I110" i="1" s="1"/>
  <c r="F110" i="1"/>
  <c r="N107" i="2"/>
  <c r="H109" i="1"/>
  <c r="J109" i="1" s="1"/>
  <c r="N109" i="1"/>
  <c r="D112" i="1"/>
  <c r="G111" i="1" a="1"/>
  <c r="F111" i="1" a="1"/>
  <c r="F111" i="1" l="1"/>
  <c r="G111" i="1"/>
  <c r="I111" i="1" s="1"/>
  <c r="D113" i="1"/>
  <c r="N108" i="2"/>
  <c r="N110" i="1"/>
  <c r="H110" i="1"/>
  <c r="J110" i="1" s="1"/>
  <c r="F112" i="1" a="1"/>
  <c r="G112" i="1" a="1"/>
  <c r="G112" i="1" l="1"/>
  <c r="I112" i="1" s="1"/>
  <c r="F112" i="1"/>
  <c r="D114" i="1"/>
  <c r="N109" i="2"/>
  <c r="N111" i="1"/>
  <c r="H111" i="1"/>
  <c r="J111" i="1" s="1"/>
  <c r="F113" i="1" a="1"/>
  <c r="G113" i="1" a="1"/>
  <c r="G113" i="1" l="1"/>
  <c r="I113" i="1" s="1"/>
  <c r="F113" i="1"/>
  <c r="N110" i="2"/>
  <c r="D115" i="1"/>
  <c r="H112" i="1"/>
  <c r="J112" i="1" s="1"/>
  <c r="N112" i="1"/>
  <c r="F114" i="1" a="1"/>
  <c r="G114" i="1" a="1"/>
  <c r="G114" i="1" l="1"/>
  <c r="I114" i="1" s="1"/>
  <c r="F114" i="1"/>
  <c r="N111" i="2"/>
  <c r="H113" i="1"/>
  <c r="J113" i="1" s="1"/>
  <c r="N113" i="1"/>
  <c r="D117" i="1"/>
  <c r="F115" i="1" a="1"/>
  <c r="G115" i="1" a="1"/>
  <c r="G115" i="1" l="1"/>
  <c r="I115" i="1" s="1"/>
  <c r="F115" i="1"/>
  <c r="H114" i="1"/>
  <c r="J114" i="1" s="1"/>
  <c r="N114" i="1"/>
  <c r="N112" i="2"/>
  <c r="D118" i="1"/>
  <c r="F117" i="1" a="1"/>
  <c r="G117" i="1" a="1"/>
  <c r="G117" i="1" l="1"/>
  <c r="I117" i="1" s="1"/>
  <c r="F117" i="1"/>
  <c r="N113" i="2"/>
  <c r="H115" i="1"/>
  <c r="J115" i="1" s="1"/>
  <c r="N115" i="1"/>
  <c r="D119" i="1"/>
  <c r="G118" i="1" a="1"/>
  <c r="F118" i="1" a="1"/>
  <c r="F118" i="1" l="1"/>
  <c r="G118" i="1"/>
  <c r="I118" i="1" s="1"/>
  <c r="D120" i="1"/>
  <c r="N114" i="2"/>
  <c r="H117" i="1"/>
  <c r="J117" i="1" s="1"/>
  <c r="N117" i="1"/>
  <c r="F119" i="1" a="1"/>
  <c r="G119" i="1" a="1"/>
  <c r="G119" i="1" l="1"/>
  <c r="I119" i="1" s="1"/>
  <c r="F119" i="1"/>
  <c r="D121" i="1"/>
  <c r="N116" i="2"/>
  <c r="H118" i="1"/>
  <c r="J118" i="1" s="1"/>
  <c r="N118" i="1"/>
  <c r="G120" i="1" a="1"/>
  <c r="F120" i="1" a="1"/>
  <c r="F120" i="1" l="1"/>
  <c r="G120" i="1"/>
  <c r="I120" i="1" s="1"/>
  <c r="N119" i="1"/>
  <c r="H119" i="1"/>
  <c r="J119" i="1" s="1"/>
  <c r="N117" i="2"/>
  <c r="D122" i="1"/>
  <c r="G121" i="1" a="1"/>
  <c r="F121" i="1" a="1"/>
  <c r="F121" i="1" l="1"/>
  <c r="G121" i="1"/>
  <c r="I121" i="1" s="1"/>
  <c r="N118" i="2"/>
  <c r="D123" i="1"/>
  <c r="H120" i="1"/>
  <c r="J120" i="1" s="1"/>
  <c r="N120" i="1"/>
  <c r="G122" i="1" a="1"/>
  <c r="F122" i="1" a="1"/>
  <c r="F122" i="1" l="1"/>
  <c r="G122" i="1"/>
  <c r="I122" i="1" s="1"/>
  <c r="N121" i="1"/>
  <c r="H121" i="1"/>
  <c r="J121" i="1" s="1"/>
  <c r="N119" i="2"/>
  <c r="D124" i="1"/>
  <c r="G123" i="1" a="1"/>
  <c r="F123" i="1" a="1"/>
  <c r="F123" i="1" l="1"/>
  <c r="G123" i="1"/>
  <c r="I123" i="1" s="1"/>
  <c r="N120" i="2"/>
  <c r="D125" i="1"/>
  <c r="N122" i="1"/>
  <c r="H122" i="1"/>
  <c r="J122" i="1" s="1"/>
  <c r="F124" i="1" a="1"/>
  <c r="G124" i="1" a="1"/>
  <c r="G124" i="1" l="1"/>
  <c r="I124" i="1" s="1"/>
  <c r="F124" i="1"/>
  <c r="H123" i="1"/>
  <c r="J123" i="1" s="1"/>
  <c r="N123" i="1"/>
  <c r="N121" i="2"/>
  <c r="D127" i="1"/>
  <c r="G125" i="1" a="1"/>
  <c r="F125" i="1" a="1"/>
  <c r="F125" i="1" l="1"/>
  <c r="G125" i="1"/>
  <c r="I125" i="1" s="1"/>
  <c r="D128" i="1"/>
  <c r="N124" i="1"/>
  <c r="H124" i="1"/>
  <c r="J124" i="1" s="1"/>
  <c r="N122" i="2"/>
  <c r="G127" i="1" a="1"/>
  <c r="F127" i="1" a="1"/>
  <c r="F127" i="1" l="1"/>
  <c r="G127" i="1"/>
  <c r="I127" i="1" s="1"/>
  <c r="N123" i="2"/>
  <c r="D129" i="1"/>
  <c r="N125" i="1"/>
  <c r="H125" i="1"/>
  <c r="J125" i="1" s="1"/>
  <c r="F128" i="1" a="1"/>
  <c r="G128" i="1" a="1"/>
  <c r="G128" i="1" l="1"/>
  <c r="I128" i="1" s="1"/>
  <c r="F128" i="1"/>
  <c r="N124" i="2"/>
  <c r="D130" i="1"/>
  <c r="N127" i="1"/>
  <c r="H127" i="1"/>
  <c r="J127" i="1" s="1"/>
  <c r="G129" i="1" a="1"/>
  <c r="F129" i="1" a="1"/>
  <c r="F129" i="1" l="1"/>
  <c r="G129" i="1"/>
  <c r="I129" i="1" s="1"/>
  <c r="H128" i="1"/>
  <c r="J128" i="1" s="1"/>
  <c r="N128" i="1"/>
  <c r="N126" i="2"/>
  <c r="D131" i="1"/>
  <c r="G130" i="1" a="1"/>
  <c r="F130" i="1" a="1"/>
  <c r="F130" i="1" l="1"/>
  <c r="G130" i="1"/>
  <c r="I130" i="1" s="1"/>
  <c r="N127" i="2"/>
  <c r="D132" i="1"/>
  <c r="N129" i="1"/>
  <c r="H129" i="1"/>
  <c r="J129" i="1" s="1"/>
  <c r="G131" i="1" a="1"/>
  <c r="F131" i="1" a="1"/>
  <c r="F131" i="1" l="1"/>
  <c r="G131" i="1"/>
  <c r="I131" i="1" s="1"/>
  <c r="D133" i="1"/>
  <c r="N128" i="2"/>
  <c r="N130" i="1"/>
  <c r="H130" i="1"/>
  <c r="J130" i="1" s="1"/>
  <c r="F132" i="1" a="1"/>
  <c r="G132" i="1" a="1"/>
  <c r="G132" i="1" l="1"/>
  <c r="I132" i="1" s="1"/>
  <c r="F132" i="1"/>
  <c r="D135" i="1"/>
  <c r="N129" i="2"/>
  <c r="H131" i="1"/>
  <c r="J131" i="1" s="1"/>
  <c r="N131" i="1"/>
  <c r="G133" i="1" a="1"/>
  <c r="F133" i="1" a="1"/>
  <c r="F133" i="1" l="1"/>
  <c r="G133" i="1"/>
  <c r="I133" i="1" s="1"/>
  <c r="N130" i="2"/>
  <c r="D136" i="1"/>
  <c r="H132" i="1"/>
  <c r="J132" i="1" s="1"/>
  <c r="N132" i="1"/>
  <c r="F135" i="1" a="1"/>
  <c r="G135" i="1" a="1"/>
  <c r="G135" i="1" l="1"/>
  <c r="I135" i="1" s="1"/>
  <c r="F135" i="1"/>
  <c r="N131" i="2"/>
  <c r="D137" i="1"/>
  <c r="N133" i="1"/>
  <c r="H133" i="1"/>
  <c r="J133" i="1" s="1"/>
  <c r="G136" i="1" a="1"/>
  <c r="F136" i="1" a="1"/>
  <c r="F136" i="1" l="1"/>
  <c r="G136" i="1"/>
  <c r="I136" i="1" s="1"/>
  <c r="N132" i="2"/>
  <c r="D138" i="1"/>
  <c r="H135" i="1"/>
  <c r="J135" i="1" s="1"/>
  <c r="N135" i="1"/>
  <c r="G137" i="1" a="1"/>
  <c r="F137" i="1" a="1"/>
  <c r="F137" i="1" l="1"/>
  <c r="G137" i="1"/>
  <c r="I137" i="1" s="1"/>
  <c r="D139" i="1"/>
  <c r="N134" i="2"/>
  <c r="H136" i="1"/>
  <c r="J136" i="1" s="1"/>
  <c r="N136" i="1"/>
  <c r="G138" i="1" a="1"/>
  <c r="F138" i="1" a="1"/>
  <c r="F138" i="1" l="1"/>
  <c r="G138" i="1"/>
  <c r="I138" i="1" s="1"/>
  <c r="N135" i="2"/>
  <c r="H137" i="1"/>
  <c r="J137" i="1" s="1"/>
  <c r="N137" i="1"/>
  <c r="F139" i="1" a="1"/>
  <c r="G139" i="1" a="1"/>
  <c r="G139" i="1" l="1"/>
  <c r="F139" i="1"/>
  <c r="N136" i="2"/>
  <c r="N138" i="1"/>
  <c r="H138" i="1"/>
  <c r="J138" i="1" s="1"/>
  <c r="N137" i="2" l="1"/>
  <c r="N139" i="1"/>
  <c r="AA135" i="1" s="1"/>
  <c r="H139" i="1"/>
  <c r="B58" i="1"/>
  <c r="B59" i="1"/>
  <c r="C39" i="1"/>
  <c r="I139" i="1"/>
  <c r="I140" i="1" s="1"/>
  <c r="B40" i="1" s="1"/>
  <c r="C40" i="1"/>
  <c r="B60" i="1"/>
  <c r="B61" i="1"/>
  <c r="N138" i="2" l="1"/>
  <c r="AA139" i="1"/>
  <c r="AA62" i="1"/>
  <c r="AA65" i="1"/>
  <c r="AA59" i="1"/>
  <c r="AA58" i="1"/>
  <c r="AA61" i="1"/>
  <c r="AA60" i="1"/>
  <c r="AA63" i="1"/>
  <c r="T40" i="1"/>
  <c r="AA54" i="1"/>
  <c r="AA126" i="1"/>
  <c r="AA76" i="1"/>
  <c r="AA66" i="1"/>
  <c r="AA86" i="1"/>
  <c r="AA64" i="1"/>
  <c r="AA134" i="1"/>
  <c r="AA56" i="1"/>
  <c r="AA96" i="1"/>
  <c r="AA52" i="1"/>
  <c r="AA116" i="1"/>
  <c r="AA53" i="1"/>
  <c r="AA71" i="1"/>
  <c r="AA55" i="1"/>
  <c r="AA67" i="1"/>
  <c r="T41" i="1"/>
  <c r="AA106" i="1"/>
  <c r="AA57" i="1"/>
  <c r="AA68" i="1"/>
  <c r="AA69" i="1"/>
  <c r="AA70" i="1"/>
  <c r="AA74" i="1"/>
  <c r="AA72" i="1"/>
  <c r="AA73" i="1"/>
  <c r="AA75" i="1"/>
  <c r="AA77" i="1"/>
  <c r="AA79" i="1"/>
  <c r="AA82" i="1"/>
  <c r="AA78" i="1"/>
  <c r="AA80" i="1"/>
  <c r="AA81" i="1"/>
  <c r="AA84" i="1"/>
  <c r="AA83" i="1"/>
  <c r="AA85" i="1"/>
  <c r="AA87" i="1"/>
  <c r="AA88" i="1"/>
  <c r="AA89" i="1"/>
  <c r="AA90" i="1"/>
  <c r="AA91" i="1"/>
  <c r="AA93" i="1"/>
  <c r="AA95" i="1"/>
  <c r="AA92" i="1"/>
  <c r="AA94" i="1"/>
  <c r="AA97" i="1"/>
  <c r="AA99" i="1"/>
  <c r="AA98" i="1"/>
  <c r="AA100" i="1"/>
  <c r="AA101" i="1"/>
  <c r="AA103" i="1"/>
  <c r="AA102" i="1"/>
  <c r="AA105" i="1"/>
  <c r="AA108" i="1"/>
  <c r="AA104" i="1"/>
  <c r="AA107" i="1"/>
  <c r="AA110" i="1"/>
  <c r="AA109" i="1"/>
  <c r="AA112" i="1"/>
  <c r="AA111" i="1"/>
  <c r="AA114" i="1"/>
  <c r="AA113" i="1"/>
  <c r="AA115" i="1"/>
  <c r="AA117" i="1"/>
  <c r="AA119" i="1"/>
  <c r="AA118" i="1"/>
  <c r="AA120" i="1"/>
  <c r="AA121" i="1"/>
  <c r="AA123" i="1"/>
  <c r="AA122" i="1"/>
  <c r="AA125" i="1"/>
  <c r="AA124" i="1"/>
  <c r="AA130" i="1"/>
  <c r="AA127" i="1"/>
  <c r="AA128" i="1"/>
  <c r="AA132" i="1"/>
  <c r="AA133" i="1"/>
  <c r="J139" i="1"/>
  <c r="H140" i="1"/>
  <c r="B39" i="1" s="1"/>
  <c r="AA131" i="1"/>
  <c r="AA136" i="1"/>
  <c r="AA129" i="1"/>
  <c r="AA138" i="1"/>
  <c r="AA137" i="1"/>
  <c r="A8" i="3" l="1"/>
  <c r="A16" i="3"/>
  <c r="A12" i="3"/>
  <c r="A11" i="3"/>
  <c r="A15" i="3"/>
  <c r="A6" i="3"/>
  <c r="A7" i="3"/>
  <c r="A13" i="3"/>
  <c r="C43" i="1"/>
  <c r="J140" i="1"/>
  <c r="B41" i="1" s="1"/>
  <c r="C44" i="1"/>
  <c r="A9" i="3"/>
  <c r="A14" i="3"/>
  <c r="A10" i="3"/>
  <c r="B44" i="2" l="1"/>
  <c r="B42" i="2"/>
  <c r="B39" i="2"/>
  <c r="B41" i="2"/>
  <c r="B40" i="2"/>
  <c r="B43" i="2"/>
</calcChain>
</file>

<file path=xl/sharedStrings.xml><?xml version="1.0" encoding="utf-8"?>
<sst xmlns="http://schemas.openxmlformats.org/spreadsheetml/2006/main" count="324" uniqueCount="139">
  <si>
    <t>Wafer Yield Map</t>
  </si>
  <si>
    <t>Lot</t>
  </si>
  <si>
    <t>93376</t>
  </si>
  <si>
    <t>Wafer #</t>
  </si>
  <si>
    <t>07</t>
  </si>
  <si>
    <t>Fab</t>
  </si>
  <si>
    <t>AFSW</t>
  </si>
  <si>
    <t>Test condition</t>
  </si>
  <si>
    <t>reverse BV at 1mA for surface diode Unit (V)</t>
  </si>
  <si>
    <t>Test Date</t>
  </si>
  <si>
    <t>Test Engineer</t>
  </si>
  <si>
    <t>Die 1</t>
  </si>
  <si>
    <t>Die 2</t>
  </si>
  <si>
    <t>Die 3</t>
  </si>
  <si>
    <t>Die 4</t>
  </si>
  <si>
    <t>Die 5</t>
  </si>
  <si>
    <t>Die 6</t>
  </si>
  <si>
    <t>Die 7</t>
  </si>
  <si>
    <t>Die 8</t>
  </si>
  <si>
    <t>Die 9</t>
  </si>
  <si>
    <t>Die 10</t>
  </si>
  <si>
    <t>Die 11</t>
  </si>
  <si>
    <t>Die 12</t>
  </si>
  <si>
    <t>Die 13</t>
  </si>
  <si>
    <t>Die 14</t>
  </si>
  <si>
    <t>Die 15</t>
  </si>
  <si>
    <t>Die 16</t>
  </si>
  <si>
    <t>Die 17</t>
  </si>
  <si>
    <t>Die 18</t>
  </si>
  <si>
    <t>Die 19</t>
  </si>
  <si>
    <t>Die 20</t>
  </si>
  <si>
    <t>Die 21</t>
  </si>
  <si>
    <t>Die 22</t>
  </si>
  <si>
    <t>Die 23</t>
  </si>
  <si>
    <t>Die 24</t>
  </si>
  <si>
    <t>Die 25</t>
  </si>
  <si>
    <t>Die 26</t>
  </si>
  <si>
    <t>Die 27</t>
  </si>
  <si>
    <t>Die 28</t>
  </si>
  <si>
    <t>Die 29</t>
  </si>
  <si>
    <t>Die 30</t>
  </si>
  <si>
    <t>Die 31</t>
  </si>
  <si>
    <t>Die 32</t>
  </si>
  <si>
    <t>Die 33</t>
  </si>
  <si>
    <t>Die 34</t>
  </si>
  <si>
    <t>Die 35</t>
  </si>
  <si>
    <t>Die 36</t>
  </si>
  <si>
    <t>Die 37</t>
  </si>
  <si>
    <t>Die 38</t>
  </si>
  <si>
    <t>Die 39</t>
  </si>
  <si>
    <t>Die 40</t>
  </si>
  <si>
    <t>Die 41</t>
  </si>
  <si>
    <t>Die 42</t>
  </si>
  <si>
    <t>Die 43</t>
  </si>
  <si>
    <t>Die 44</t>
  </si>
  <si>
    <t>Die 45</t>
  </si>
  <si>
    <t>Die 46</t>
  </si>
  <si>
    <t>Die 47</t>
  </si>
  <si>
    <t>Die 48</t>
  </si>
  <si>
    <t>Die 49</t>
  </si>
  <si>
    <t>Die 50</t>
  </si>
  <si>
    <t>Die 51</t>
  </si>
  <si>
    <t>Die 52</t>
  </si>
  <si>
    <t>Die 53</t>
  </si>
  <si>
    <t>Die 54</t>
  </si>
  <si>
    <t>Die 55</t>
  </si>
  <si>
    <t>Die 56</t>
  </si>
  <si>
    <t>Die 57</t>
  </si>
  <si>
    <t>Die 58</t>
  </si>
  <si>
    <t>Die 59</t>
  </si>
  <si>
    <t>Die 60</t>
  </si>
  <si>
    <t>Die 61</t>
  </si>
  <si>
    <t>Die 62</t>
  </si>
  <si>
    <t>Die 63</t>
  </si>
  <si>
    <t>Die 64</t>
  </si>
  <si>
    <t>Die 65</t>
  </si>
  <si>
    <t>Die 66</t>
  </si>
  <si>
    <t>Die 67</t>
  </si>
  <si>
    <t>Die 68</t>
  </si>
  <si>
    <t>Die 69</t>
  </si>
  <si>
    <t>Die 70</t>
  </si>
  <si>
    <t>Die 71</t>
  </si>
  <si>
    <t>Die 72</t>
  </si>
  <si>
    <t>Die 73</t>
  </si>
  <si>
    <t>Die 74</t>
  </si>
  <si>
    <t>Die 75</t>
  </si>
  <si>
    <t>Die 76</t>
  </si>
  <si>
    <t>Die 77</t>
  </si>
  <si>
    <t>Die 78</t>
  </si>
  <si>
    <t>Die 79</t>
  </si>
  <si>
    <t>Die 80</t>
  </si>
  <si>
    <t>Die 81</t>
  </si>
  <si>
    <t>Die 82</t>
  </si>
  <si>
    <t>Die 83</t>
  </si>
  <si>
    <t>Die 84</t>
  </si>
  <si>
    <t>Die 85</t>
  </si>
  <si>
    <t>Die 86</t>
  </si>
  <si>
    <t>Die 87</t>
  </si>
  <si>
    <t>Die 88</t>
  </si>
  <si>
    <t>Flat</t>
  </si>
  <si>
    <t>Data Deviation</t>
  </si>
  <si>
    <t>Front</t>
  </si>
  <si>
    <t>Front Side Testing</t>
  </si>
  <si>
    <t>Back</t>
  </si>
  <si>
    <t>Back Side Testing</t>
  </si>
  <si>
    <t>Total</t>
  </si>
  <si>
    <t>Average E1E2 good devices</t>
  </si>
  <si>
    <t>V@1A</t>
  </si>
  <si>
    <t>Average E2E1 good devices</t>
  </si>
  <si>
    <t xml:space="preserve">Yield at </t>
  </si>
  <si>
    <t>V</t>
  </si>
  <si>
    <t>Top Threshold</t>
  </si>
  <si>
    <t>Wafer</t>
  </si>
  <si>
    <t>Die</t>
  </si>
  <si>
    <t>FrontBV</t>
  </si>
  <si>
    <t>BackBV</t>
  </si>
  <si>
    <t>Front Yield</t>
  </si>
  <si>
    <t>BackYield</t>
  </si>
  <si>
    <t>TotalYield</t>
  </si>
  <si>
    <t>E1E2</t>
  </si>
  <si>
    <t>E2E1</t>
  </si>
  <si>
    <t xml:space="preserve">Search: </t>
  </si>
  <si>
    <t>Min F</t>
  </si>
  <si>
    <t>Max F</t>
  </si>
  <si>
    <t>Min B</t>
  </si>
  <si>
    <t>Max B</t>
  </si>
  <si>
    <t>ideal *3</t>
  </si>
  <si>
    <t>ideal *2</t>
  </si>
  <si>
    <t>ideal +10%</t>
  </si>
  <si>
    <t>High Value</t>
  </si>
  <si>
    <t>Low Value</t>
  </si>
  <si>
    <t>Avg E1E2</t>
  </si>
  <si>
    <t>Avg E2E1</t>
  </si>
  <si>
    <t>E1E2 Dev</t>
  </si>
  <si>
    <t>E2E1 Dev</t>
  </si>
  <si>
    <t>Part Number=IPAD01210AST</t>
  </si>
  <si>
    <t>Wafer Size=150 mm</t>
  </si>
  <si>
    <t>XDIES=11.286 mm</t>
  </si>
  <si>
    <t>YDIES=11.276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</si>
</sst>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name val="Arial Black"/>
      <family val="2"/>
    </font>
    <font>
      <sz val="18"/>
      <color theme="1"/>
      <name val="Arial Black"/>
      <family val="2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8"/>
      <color theme="0" tint="-4.9989318521683403E-2"/>
      <name val="Arial Black"/>
      <family val="2"/>
    </font>
    <font>
      <sz val="11"/>
      <color rgb="FF002060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164" fontId="3" fillId="3" borderId="0" xfId="0" applyNumberFormat="1" applyFont="1" applyFill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5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0" fontId="0" fillId="0" borderId="9" xfId="0" applyBorder="1"/>
    <xf numFmtId="0" fontId="0" fillId="0" borderId="0" xfId="0" applyAlignment="1">
      <alignment horizontal="right"/>
    </xf>
    <xf numFmtId="0" fontId="8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64" fontId="5" fillId="3" borderId="0" xfId="0" applyNumberFormat="1" applyFont="1" applyFill="1" applyAlignment="1">
      <alignment horizontal="right" vertical="center"/>
    </xf>
    <xf numFmtId="164" fontId="6" fillId="3" borderId="0" xfId="0" applyNumberFormat="1" applyFont="1" applyFill="1" applyAlignment="1">
      <alignment horizontal="right" vertical="center"/>
    </xf>
    <xf numFmtId="0" fontId="9" fillId="4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164" fontId="0" fillId="0" borderId="9" xfId="0" applyNumberFormat="1" applyBorder="1"/>
    <xf numFmtId="2" fontId="3" fillId="0" borderId="11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0" fontId="10" fillId="0" borderId="0" xfId="0" applyFont="1"/>
    <xf numFmtId="164" fontId="3" fillId="0" borderId="0" xfId="0" applyNumberFormat="1" applyFont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3" borderId="9" xfId="0" applyFont="1" applyFill="1" applyBorder="1" applyAlignment="1">
      <alignment horizontal="center" vertical="center"/>
    </xf>
    <xf numFmtId="165" fontId="0" fillId="0" borderId="0" xfId="0" applyNumberFormat="1"/>
    <xf numFmtId="0" fontId="10" fillId="0" borderId="9" xfId="0" applyFont="1" applyBorder="1"/>
    <xf numFmtId="0" fontId="0" fillId="0" borderId="0" xfId="0" quotePrefix="1" applyAlignment="1">
      <alignment horizontal="center"/>
    </xf>
    <xf numFmtId="0" fontId="0" fillId="0" borderId="0" xfId="0" quotePrefix="1"/>
    <xf numFmtId="0" fontId="16" fillId="0" borderId="0" xfId="0" applyFont="1" applyAlignment="1">
      <alignment horizontal="center"/>
    </xf>
    <xf numFmtId="0" fontId="18" fillId="0" borderId="24" xfId="0" applyFont="1" applyBorder="1" applyAlignment="1">
      <alignment horizontal="right"/>
    </xf>
    <xf numFmtId="0" fontId="18" fillId="0" borderId="25" xfId="0" applyFont="1" applyBorder="1" applyAlignment="1">
      <alignment horizontal="center"/>
    </xf>
    <xf numFmtId="0" fontId="18" fillId="0" borderId="26" xfId="0" applyFont="1" applyBorder="1" applyAlignment="1">
      <alignment horizontal="left"/>
    </xf>
    <xf numFmtId="0" fontId="18" fillId="0" borderId="24" xfId="0" applyFont="1" applyBorder="1" applyAlignment="1">
      <alignment horizontal="right" vertical="center" shrinkToFit="1"/>
    </xf>
    <xf numFmtId="0" fontId="4" fillId="0" borderId="0" xfId="0" applyFont="1"/>
    <xf numFmtId="0" fontId="4" fillId="0" borderId="0" xfId="0" applyFont="1" applyAlignment="1">
      <alignment horizontal="center"/>
    </xf>
    <xf numFmtId="0" fontId="11" fillId="0" borderId="18" xfId="0" applyFont="1" applyBorder="1" applyAlignment="1">
      <alignment vertical="center" textRotation="90"/>
    </xf>
    <xf numFmtId="0" fontId="0" fillId="0" borderId="27" xfId="0" applyBorder="1"/>
    <xf numFmtId="2" fontId="0" fillId="0" borderId="28" xfId="0" applyNumberFormat="1" applyBorder="1" applyAlignment="1">
      <alignment horizontal="center"/>
    </xf>
    <xf numFmtId="0" fontId="0" fillId="0" borderId="29" xfId="0" applyBorder="1"/>
    <xf numFmtId="2" fontId="0" fillId="0" borderId="30" xfId="0" applyNumberFormat="1" applyBorder="1" applyAlignment="1">
      <alignment horizontal="center"/>
    </xf>
    <xf numFmtId="0" fontId="0" fillId="0" borderId="10" xfId="0" applyBorder="1"/>
    <xf numFmtId="2" fontId="0" fillId="0" borderId="31" xfId="0" applyNumberForma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1" fillId="0" borderId="0" xfId="0" applyFont="1"/>
    <xf numFmtId="0" fontId="9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4" borderId="9" xfId="0" applyFill="1" applyBorder="1"/>
    <xf numFmtId="49" fontId="0" fillId="4" borderId="9" xfId="0" applyNumberFormat="1" applyFill="1" applyBorder="1"/>
    <xf numFmtId="14" fontId="13" fillId="4" borderId="9" xfId="0" applyNumberFormat="1" applyFont="1" applyFill="1" applyBorder="1"/>
    <xf numFmtId="0" fontId="17" fillId="0" borderId="18" xfId="0" applyFont="1" applyBorder="1" applyAlignment="1">
      <alignment horizontal="center" vertical="center" textRotation="90"/>
    </xf>
    <xf numFmtId="0" fontId="0" fillId="0" borderId="18" xfId="0" applyBorder="1"/>
    <xf numFmtId="164" fontId="4" fillId="0" borderId="19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164" fontId="4" fillId="0" borderId="32" xfId="0" applyNumberFormat="1" applyFont="1" applyBorder="1" applyAlignment="1">
      <alignment horizontal="center" vertical="center"/>
    </xf>
    <xf numFmtId="0" fontId="0" fillId="0" borderId="8" xfId="0" applyBorder="1"/>
    <xf numFmtId="0" fontId="0" fillId="0" borderId="22" xfId="0" applyBorder="1"/>
    <xf numFmtId="0" fontId="12" fillId="0" borderId="8" xfId="0" applyFont="1" applyBorder="1" applyAlignment="1">
      <alignment horizontal="left" vertical="center" textRotation="180"/>
    </xf>
    <xf numFmtId="0" fontId="11" fillId="0" borderId="0" xfId="0" applyFont="1" applyAlignment="1">
      <alignment horizontal="right" vertical="top"/>
    </xf>
    <xf numFmtId="0" fontId="0" fillId="0" borderId="0" xfId="0"/>
    <xf numFmtId="0" fontId="1" fillId="4" borderId="0" xfId="0" applyFont="1" applyFill="1" applyAlignment="1">
      <alignment horizontal="center"/>
    </xf>
    <xf numFmtId="0" fontId="0" fillId="4" borderId="0" xfId="0" applyFill="1"/>
    <xf numFmtId="0" fontId="1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2" fillId="0" borderId="21" xfId="0" applyFont="1" applyBorder="1" applyAlignment="1">
      <alignment horizontal="center"/>
    </xf>
    <xf numFmtId="0" fontId="0" fillId="0" borderId="21" xfId="0" applyBorder="1"/>
    <xf numFmtId="0" fontId="2" fillId="3" borderId="0" xfId="0" applyFont="1" applyFill="1" applyAlignment="1">
      <alignment vertical="center" shrinkToFit="1"/>
    </xf>
    <xf numFmtId="0" fontId="15" fillId="3" borderId="21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textRotation="90"/>
    </xf>
    <xf numFmtId="0" fontId="12" fillId="0" borderId="20" xfId="0" applyFont="1" applyBorder="1" applyAlignment="1">
      <alignment horizontal="center"/>
    </xf>
    <xf numFmtId="0" fontId="0" fillId="0" borderId="20" xfId="0" applyBorder="1"/>
    <xf numFmtId="0" fontId="0" fillId="4" borderId="9" xfId="0" applyFill="1" applyBorder="1" applyAlignment="1">
      <alignment horizontal="center"/>
    </xf>
    <xf numFmtId="0" fontId="0" fillId="0" borderId="9" xfId="0" applyBorder="1"/>
    <xf numFmtId="0" fontId="11" fillId="0" borderId="0" xfId="0" applyFont="1" applyAlignment="1">
      <alignment horizontal="left" vertical="top"/>
    </xf>
  </cellXfs>
  <cellStyles count="1">
    <cellStyle name="Normal" xfId="0" builtinId="0"/>
  </cellStyles>
  <dxfs count="373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E993E5"/>
        </patternFill>
      </fill>
    </dxf>
    <dxf>
      <fill>
        <patternFill>
          <bgColor rgb="FFBA36AD"/>
        </patternFill>
      </fill>
    </dxf>
    <dxf>
      <fill>
        <patternFill>
          <bgColor rgb="FFF5DBF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9966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border>
        <bottom/>
      </border>
    </dxf>
    <dxf>
      <font>
        <color theme="0"/>
      </font>
      <border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140"/>
  <sheetViews>
    <sheetView tabSelected="1" topLeftCell="A24" zoomScale="70" zoomScaleNormal="70" workbookViewId="0">
      <selection activeCell="O52" sqref="O52"/>
    </sheetView>
  </sheetViews>
  <sheetFormatPr defaultRowHeight="15" x14ac:dyDescent="0.25"/>
  <cols>
    <col min="3" max="3" width="9.28515625" customWidth="1"/>
    <col min="5" max="5" width="8.42578125" customWidth="1"/>
    <col min="8" max="8" width="8.85546875" customWidth="1"/>
    <col min="12" max="12" width="9.28515625" customWidth="1"/>
    <col min="13" max="13" width="2.7109375" customWidth="1"/>
    <col min="14" max="14" width="6.85546875" style="47" customWidth="1"/>
    <col min="17" max="17" width="8.85546875" customWidth="1"/>
    <col min="19" max="19" width="8.85546875" customWidth="1"/>
    <col min="24" max="24" width="8.85546875" customWidth="1"/>
    <col min="25" max="25" width="6.85546875" customWidth="1"/>
    <col min="27" max="27" width="8.85546875" customWidth="1"/>
  </cols>
  <sheetData>
    <row r="1" spans="1:25" ht="18.399999999999999" customHeight="1" x14ac:dyDescent="0.3">
      <c r="A1" s="1"/>
      <c r="B1" s="84" t="s">
        <v>0</v>
      </c>
      <c r="C1" s="80"/>
      <c r="D1" s="80"/>
      <c r="E1" s="80"/>
      <c r="F1" s="80"/>
      <c r="G1" s="1"/>
      <c r="H1" s="1"/>
      <c r="I1" s="2"/>
      <c r="J1" s="2"/>
      <c r="K1" s="2"/>
    </row>
    <row r="2" spans="1:25" x14ac:dyDescent="0.25">
      <c r="A2" s="3"/>
      <c r="B2" s="4" t="s">
        <v>1</v>
      </c>
      <c r="C2" s="67" t="s">
        <v>2</v>
      </c>
      <c r="D2" s="4" t="s">
        <v>3</v>
      </c>
      <c r="E2" s="68" t="s">
        <v>4</v>
      </c>
      <c r="F2" s="3"/>
      <c r="G2" s="4" t="s">
        <v>5</v>
      </c>
      <c r="H2" s="67" t="s">
        <v>6</v>
      </c>
      <c r="I2" s="2"/>
      <c r="J2" s="2"/>
      <c r="K2" s="2"/>
    </row>
    <row r="3" spans="1:25" x14ac:dyDescent="0.25">
      <c r="A3" s="3"/>
      <c r="B3" s="4" t="s">
        <v>7</v>
      </c>
      <c r="C3" s="3"/>
      <c r="D3" s="82" t="s">
        <v>8</v>
      </c>
      <c r="E3" s="80"/>
      <c r="F3" s="80"/>
      <c r="G3" s="80"/>
      <c r="H3" s="80"/>
      <c r="I3" s="2"/>
      <c r="J3" s="2"/>
      <c r="K3" s="2"/>
    </row>
    <row r="4" spans="1:25" x14ac:dyDescent="0.25">
      <c r="A4" s="3"/>
      <c r="B4" s="4" t="s">
        <v>9</v>
      </c>
      <c r="C4" s="69">
        <f ca="1">TODAY()</f>
        <v>45546</v>
      </c>
      <c r="D4" s="81" t="s">
        <v>10</v>
      </c>
      <c r="E4" s="80"/>
      <c r="F4" s="94"/>
      <c r="G4" s="95"/>
      <c r="H4" s="95"/>
      <c r="I4" s="2"/>
      <c r="J4" s="2"/>
      <c r="K4" s="2"/>
    </row>
    <row r="5" spans="1:25" ht="27.95" customHeight="1" thickBot="1" x14ac:dyDescent="0.5500000000000000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R5" s="92"/>
      <c r="S5" s="93"/>
      <c r="T5" s="93"/>
      <c r="U5" s="93"/>
    </row>
    <row r="6" spans="1:25" ht="16.5" customHeight="1" thickBot="1" x14ac:dyDescent="0.3">
      <c r="A6" s="5"/>
      <c r="B6" s="5"/>
      <c r="C6" s="6">
        <v>0.83975791931199995</v>
      </c>
      <c r="D6" s="35">
        <v>69.678474426299999</v>
      </c>
      <c r="E6" s="6">
        <v>4.5895576477099999E-2</v>
      </c>
      <c r="F6" s="6">
        <v>48.376728057900003</v>
      </c>
      <c r="G6" s="31">
        <v>3.69052886963</v>
      </c>
      <c r="H6" s="6">
        <v>0.159859657288</v>
      </c>
      <c r="I6" s="5"/>
      <c r="J6" s="5"/>
      <c r="K6" s="2"/>
      <c r="O6" s="86"/>
      <c r="P6" s="39"/>
      <c r="Q6" s="72" t="s">
        <v>11</v>
      </c>
      <c r="R6" s="72" t="s">
        <v>12</v>
      </c>
      <c r="S6" s="72" t="s">
        <v>13</v>
      </c>
      <c r="T6" s="72" t="s">
        <v>14</v>
      </c>
      <c r="U6" s="72" t="s">
        <v>15</v>
      </c>
      <c r="V6" s="72" t="s">
        <v>16</v>
      </c>
      <c r="W6" s="39"/>
      <c r="X6" s="83"/>
    </row>
    <row r="7" spans="1:25" ht="16.5" customHeight="1" thickBot="1" x14ac:dyDescent="0.3">
      <c r="A7" s="5"/>
      <c r="B7" s="5"/>
      <c r="C7" s="7" t="s">
        <v>11</v>
      </c>
      <c r="D7" s="9" t="s">
        <v>12</v>
      </c>
      <c r="E7" s="7" t="s">
        <v>13</v>
      </c>
      <c r="F7" s="7" t="s">
        <v>14</v>
      </c>
      <c r="G7" s="32" t="s">
        <v>15</v>
      </c>
      <c r="H7" s="7" t="s">
        <v>16</v>
      </c>
      <c r="I7" s="5"/>
      <c r="J7" s="5"/>
      <c r="K7" s="2"/>
      <c r="O7" s="80"/>
      <c r="P7" s="39"/>
      <c r="Q7" s="73"/>
      <c r="R7" s="73"/>
      <c r="S7" s="73"/>
      <c r="T7" s="73"/>
      <c r="U7" s="73"/>
      <c r="V7" s="73"/>
      <c r="W7" s="39"/>
      <c r="X7" s="80"/>
    </row>
    <row r="8" spans="1:25" ht="16.5" customHeight="1" thickBot="1" x14ac:dyDescent="0.3">
      <c r="A8" s="5"/>
      <c r="B8" s="5"/>
      <c r="C8" s="10">
        <v>69.338516235399993</v>
      </c>
      <c r="D8" s="36">
        <v>58.591938018800001</v>
      </c>
      <c r="E8" s="8">
        <v>71.164085388199993</v>
      </c>
      <c r="F8" s="8">
        <v>70.615959167499994</v>
      </c>
      <c r="G8" s="33">
        <v>68.027732849100005</v>
      </c>
      <c r="H8" s="8">
        <v>4.2390823364300001E-2</v>
      </c>
      <c r="I8" s="5"/>
      <c r="J8" s="5"/>
      <c r="K8" s="2"/>
      <c r="O8" s="80"/>
      <c r="P8" s="39"/>
      <c r="Q8" s="74"/>
      <c r="R8" s="74"/>
      <c r="S8" s="74"/>
      <c r="T8" s="74"/>
      <c r="U8" s="74"/>
      <c r="V8" s="74"/>
      <c r="W8" s="39"/>
      <c r="X8" s="80"/>
    </row>
    <row r="9" spans="1:25" ht="16.5" customHeight="1" thickBot="1" x14ac:dyDescent="0.3">
      <c r="A9" s="5"/>
      <c r="B9" s="6">
        <v>68.645263671899997</v>
      </c>
      <c r="C9" s="6">
        <v>72.438667297400002</v>
      </c>
      <c r="D9" s="35">
        <v>74.106788635300006</v>
      </c>
      <c r="E9" s="6">
        <v>74.737045288100006</v>
      </c>
      <c r="F9" s="6">
        <v>75.209716796899997</v>
      </c>
      <c r="G9" s="31">
        <v>74.445816039999997</v>
      </c>
      <c r="H9" s="6">
        <v>70.648147582999997</v>
      </c>
      <c r="I9" s="6">
        <v>68.119499206499995</v>
      </c>
      <c r="J9" s="5"/>
      <c r="K9" s="2"/>
      <c r="O9" s="39"/>
      <c r="P9" s="75" t="s">
        <v>17</v>
      </c>
      <c r="Q9" s="72" t="s">
        <v>18</v>
      </c>
      <c r="R9" s="72" t="s">
        <v>19</v>
      </c>
      <c r="S9" s="72" t="s">
        <v>20</v>
      </c>
      <c r="T9" s="72" t="s">
        <v>21</v>
      </c>
      <c r="U9" s="72" t="s">
        <v>22</v>
      </c>
      <c r="V9" s="72" t="s">
        <v>23</v>
      </c>
      <c r="W9" s="72" t="s">
        <v>24</v>
      </c>
      <c r="X9" s="39"/>
    </row>
    <row r="10" spans="1:25" ht="16.5" customHeight="1" thickBot="1" x14ac:dyDescent="0.3">
      <c r="A10" s="5"/>
      <c r="B10" s="7" t="s">
        <v>17</v>
      </c>
      <c r="C10" s="7" t="s">
        <v>18</v>
      </c>
      <c r="D10" s="9" t="s">
        <v>19</v>
      </c>
      <c r="E10" s="7" t="s">
        <v>20</v>
      </c>
      <c r="F10" s="7" t="s">
        <v>21</v>
      </c>
      <c r="G10" s="32" t="s">
        <v>22</v>
      </c>
      <c r="H10" s="7" t="s">
        <v>23</v>
      </c>
      <c r="I10" s="7" t="s">
        <v>24</v>
      </c>
      <c r="J10" s="5"/>
      <c r="K10" s="2"/>
      <c r="O10" s="39"/>
      <c r="P10" s="76"/>
      <c r="Q10" s="73"/>
      <c r="R10" s="73"/>
      <c r="S10" s="73"/>
      <c r="T10" s="73"/>
      <c r="U10" s="73"/>
      <c r="V10" s="73"/>
      <c r="W10" s="73"/>
      <c r="X10" s="39"/>
    </row>
    <row r="11" spans="1:25" ht="16.5" customHeight="1" thickBot="1" x14ac:dyDescent="0.3">
      <c r="A11" s="5"/>
      <c r="B11" s="8">
        <v>64.330360412600001</v>
      </c>
      <c r="C11" s="8">
        <v>69.187835693400004</v>
      </c>
      <c r="D11" s="8">
        <v>19.519115448000001</v>
      </c>
      <c r="E11" s="8">
        <v>70.049980163599997</v>
      </c>
      <c r="F11" s="8">
        <v>70.726371765099998</v>
      </c>
      <c r="G11" s="8">
        <v>72.306152343799994</v>
      </c>
      <c r="H11" s="8">
        <v>-3.5715103149399997E-2</v>
      </c>
      <c r="I11" s="8">
        <v>69.468116760300006</v>
      </c>
      <c r="J11" s="5"/>
      <c r="K11" s="2"/>
      <c r="O11" s="39"/>
      <c r="P11" s="77"/>
      <c r="Q11" s="74"/>
      <c r="R11" s="74"/>
      <c r="S11" s="74"/>
      <c r="T11" s="74"/>
      <c r="U11" s="74"/>
      <c r="V11" s="74"/>
      <c r="W11" s="74"/>
      <c r="X11" s="39"/>
    </row>
    <row r="12" spans="1:25" ht="16.5" customHeight="1" thickBot="1" x14ac:dyDescent="0.3">
      <c r="A12" s="6">
        <v>31.8913230896</v>
      </c>
      <c r="B12" s="6">
        <v>70.597625732400004</v>
      </c>
      <c r="C12" s="6">
        <v>74.196960449200006</v>
      </c>
      <c r="D12" s="6">
        <v>74.234916686999995</v>
      </c>
      <c r="E12" s="6">
        <v>70.833824157699993</v>
      </c>
      <c r="F12" s="6">
        <v>73.003791809099994</v>
      </c>
      <c r="G12" s="6">
        <v>72.478439331100006</v>
      </c>
      <c r="H12" s="6">
        <v>73.201324462900004</v>
      </c>
      <c r="I12" s="6">
        <v>71.105316162099996</v>
      </c>
      <c r="J12" s="6">
        <v>0.22287368774399999</v>
      </c>
      <c r="K12" s="2"/>
      <c r="O12" s="72" t="s">
        <v>25</v>
      </c>
      <c r="P12" s="72" t="s">
        <v>26</v>
      </c>
      <c r="Q12" s="72" t="s">
        <v>27</v>
      </c>
      <c r="R12" s="72" t="s">
        <v>28</v>
      </c>
      <c r="S12" s="72" t="s">
        <v>29</v>
      </c>
      <c r="T12" s="72" t="s">
        <v>30</v>
      </c>
      <c r="U12" s="72" t="s">
        <v>31</v>
      </c>
      <c r="V12" s="72" t="s">
        <v>32</v>
      </c>
      <c r="W12" s="72" t="s">
        <v>33</v>
      </c>
      <c r="X12" s="72" t="s">
        <v>34</v>
      </c>
    </row>
    <row r="13" spans="1:25" ht="16.5" customHeight="1" thickBot="1" x14ac:dyDescent="0.3">
      <c r="A13" s="7" t="s">
        <v>25</v>
      </c>
      <c r="B13" s="7" t="s">
        <v>26</v>
      </c>
      <c r="C13" s="7" t="s">
        <v>27</v>
      </c>
      <c r="D13" s="9" t="s">
        <v>28</v>
      </c>
      <c r="E13" s="7" t="s">
        <v>29</v>
      </c>
      <c r="F13" s="7" t="s">
        <v>30</v>
      </c>
      <c r="G13" s="32" t="s">
        <v>31</v>
      </c>
      <c r="H13" s="7" t="s">
        <v>32</v>
      </c>
      <c r="I13" s="7" t="s">
        <v>33</v>
      </c>
      <c r="J13" s="9" t="s">
        <v>34</v>
      </c>
      <c r="K13" s="2"/>
      <c r="O13" s="73"/>
      <c r="P13" s="73"/>
      <c r="Q13" s="73"/>
      <c r="R13" s="73"/>
      <c r="S13" s="73"/>
      <c r="T13" s="73"/>
      <c r="U13" s="73"/>
      <c r="V13" s="73"/>
      <c r="W13" s="73"/>
      <c r="X13" s="73"/>
    </row>
    <row r="14" spans="1:25" ht="16.5" customHeight="1" thickBot="1" x14ac:dyDescent="0.3">
      <c r="A14" s="10">
        <v>39.017105102499997</v>
      </c>
      <c r="B14" s="10">
        <v>73.070144653300005</v>
      </c>
      <c r="C14" s="10">
        <v>23.447109222400002</v>
      </c>
      <c r="D14" s="10">
        <v>0.112366676331</v>
      </c>
      <c r="E14" s="10">
        <v>69.416473388699998</v>
      </c>
      <c r="F14" s="10">
        <v>69.0062789917</v>
      </c>
      <c r="G14" s="10">
        <v>69.452735900899995</v>
      </c>
      <c r="H14" s="10">
        <v>55.211925506599997</v>
      </c>
      <c r="I14" s="10">
        <v>67.463996887199997</v>
      </c>
      <c r="J14" s="10">
        <v>9.3889236450200003E-2</v>
      </c>
      <c r="K14" s="2"/>
      <c r="O14" s="74"/>
      <c r="P14" s="74"/>
      <c r="Q14" s="74"/>
      <c r="R14" s="74"/>
      <c r="S14" s="74"/>
      <c r="T14" s="74"/>
      <c r="U14" s="74"/>
      <c r="V14" s="74"/>
      <c r="W14" s="74"/>
      <c r="X14" s="74"/>
    </row>
    <row r="15" spans="1:25" ht="16.5" customHeight="1" thickBot="1" x14ac:dyDescent="0.3">
      <c r="A15" s="40">
        <v>70.607254028300005</v>
      </c>
      <c r="B15" s="40">
        <v>72.575210571300005</v>
      </c>
      <c r="C15" s="40">
        <v>72.710823059099994</v>
      </c>
      <c r="D15" s="40">
        <v>71.305679321300005</v>
      </c>
      <c r="E15" s="40">
        <v>70.083145141599999</v>
      </c>
      <c r="F15" s="40">
        <v>21.9163894653</v>
      </c>
      <c r="G15" s="40">
        <v>72.204612731899999</v>
      </c>
      <c r="H15" s="40">
        <v>5.7795763015699997</v>
      </c>
      <c r="I15" s="40">
        <v>73.703643798800002</v>
      </c>
      <c r="J15" s="40">
        <v>68.4609375</v>
      </c>
      <c r="K15" s="91"/>
      <c r="N15" s="70"/>
      <c r="O15" s="72" t="s">
        <v>35</v>
      </c>
      <c r="P15" s="72" t="s">
        <v>36</v>
      </c>
      <c r="Q15" s="72" t="s">
        <v>37</v>
      </c>
      <c r="R15" s="72" t="s">
        <v>38</v>
      </c>
      <c r="S15" s="72" t="s">
        <v>39</v>
      </c>
      <c r="T15" s="72" t="s">
        <v>40</v>
      </c>
      <c r="U15" s="72" t="s">
        <v>41</v>
      </c>
      <c r="V15" s="72" t="s">
        <v>42</v>
      </c>
      <c r="W15" s="72" t="s">
        <v>43</v>
      </c>
      <c r="X15" s="72" t="s">
        <v>44</v>
      </c>
      <c r="Y15" s="78"/>
    </row>
    <row r="16" spans="1:25" ht="16.5" customHeight="1" thickBot="1" x14ac:dyDescent="0.3">
      <c r="A16" s="7" t="s">
        <v>35</v>
      </c>
      <c r="B16" s="7" t="s">
        <v>36</v>
      </c>
      <c r="C16" s="7" t="s">
        <v>37</v>
      </c>
      <c r="D16" s="7" t="s">
        <v>38</v>
      </c>
      <c r="E16" s="7" t="s">
        <v>39</v>
      </c>
      <c r="F16" s="7" t="s">
        <v>40</v>
      </c>
      <c r="G16" s="7" t="s">
        <v>41</v>
      </c>
      <c r="H16" s="7" t="s">
        <v>42</v>
      </c>
      <c r="I16" s="7" t="s">
        <v>43</v>
      </c>
      <c r="J16" s="7" t="s">
        <v>44</v>
      </c>
      <c r="K16" s="76"/>
      <c r="N16" s="71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6"/>
    </row>
    <row r="17" spans="1:25" ht="16.5" customHeight="1" thickBot="1" x14ac:dyDescent="0.3">
      <c r="A17" s="8">
        <v>63.285018920900001</v>
      </c>
      <c r="B17" s="8">
        <v>69.821784973099994</v>
      </c>
      <c r="C17" s="8">
        <v>10.601925849900001</v>
      </c>
      <c r="D17" s="36">
        <v>67.922447204600005</v>
      </c>
      <c r="E17" s="8">
        <v>65.170623779300001</v>
      </c>
      <c r="F17" s="8">
        <v>68.073966979999994</v>
      </c>
      <c r="G17" s="33">
        <v>69.593475341800001</v>
      </c>
      <c r="H17" s="8">
        <v>71.687248229999994</v>
      </c>
      <c r="I17" s="8">
        <v>73.218894958500002</v>
      </c>
      <c r="J17" s="8">
        <v>63.115165710399999</v>
      </c>
      <c r="K17" s="76"/>
      <c r="N17" s="71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6"/>
    </row>
    <row r="18" spans="1:25" ht="16.5" customHeight="1" thickBot="1" x14ac:dyDescent="0.3">
      <c r="A18" s="6">
        <v>68.420196533199999</v>
      </c>
      <c r="B18" s="6">
        <v>72.430633544900004</v>
      </c>
      <c r="C18" s="6">
        <v>71.8749542236</v>
      </c>
      <c r="D18" s="35">
        <v>43.893146514900003</v>
      </c>
      <c r="E18" s="6">
        <v>64.531829834000007</v>
      </c>
      <c r="F18" s="6">
        <v>68.392417907699993</v>
      </c>
      <c r="G18" s="31">
        <v>70.216438293500005</v>
      </c>
      <c r="H18" s="6">
        <v>71.603919982899995</v>
      </c>
      <c r="I18" s="6">
        <v>0.60665607452400006</v>
      </c>
      <c r="J18" s="6">
        <v>69.061683654800007</v>
      </c>
      <c r="K18" s="76"/>
      <c r="N18" s="71"/>
      <c r="O18" s="72" t="s">
        <v>45</v>
      </c>
      <c r="P18" s="72" t="s">
        <v>46</v>
      </c>
      <c r="Q18" s="72" t="s">
        <v>47</v>
      </c>
      <c r="R18" s="72" t="s">
        <v>48</v>
      </c>
      <c r="S18" s="72" t="s">
        <v>49</v>
      </c>
      <c r="T18" s="72" t="s">
        <v>50</v>
      </c>
      <c r="U18" s="72" t="s">
        <v>51</v>
      </c>
      <c r="V18" s="72" t="s">
        <v>52</v>
      </c>
      <c r="W18" s="72" t="s">
        <v>53</v>
      </c>
      <c r="X18" s="72" t="s">
        <v>54</v>
      </c>
      <c r="Y18" s="76"/>
    </row>
    <row r="19" spans="1:25" ht="16.5" customHeight="1" thickBot="1" x14ac:dyDescent="0.3">
      <c r="A19" s="7" t="s">
        <v>45</v>
      </c>
      <c r="B19" s="7" t="s">
        <v>46</v>
      </c>
      <c r="C19" s="7" t="s">
        <v>47</v>
      </c>
      <c r="D19" s="7" t="s">
        <v>48</v>
      </c>
      <c r="E19" s="7" t="s">
        <v>49</v>
      </c>
      <c r="F19" s="7" t="s">
        <v>50</v>
      </c>
      <c r="G19" s="7" t="s">
        <v>51</v>
      </c>
      <c r="H19" s="7" t="s">
        <v>52</v>
      </c>
      <c r="I19" s="7" t="s">
        <v>53</v>
      </c>
      <c r="J19" s="7" t="s">
        <v>54</v>
      </c>
      <c r="K19" s="76"/>
      <c r="N19" s="71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6"/>
    </row>
    <row r="20" spans="1:25" ht="16.5" customHeight="1" thickBot="1" x14ac:dyDescent="0.3">
      <c r="A20" s="10">
        <v>14.7967100143</v>
      </c>
      <c r="B20" s="8">
        <v>72.055389404300001</v>
      </c>
      <c r="C20" s="8">
        <v>70.164230346699995</v>
      </c>
      <c r="D20" s="36">
        <v>68.349502563499996</v>
      </c>
      <c r="E20" s="8">
        <v>27.935432434100001</v>
      </c>
      <c r="F20" s="8">
        <v>24.842309951800001</v>
      </c>
      <c r="G20" s="33">
        <v>57.103061676000003</v>
      </c>
      <c r="H20" s="8">
        <v>67.753791809099994</v>
      </c>
      <c r="I20" s="8">
        <v>67.826080322300001</v>
      </c>
      <c r="J20" s="10">
        <v>64.554237365700004</v>
      </c>
      <c r="K20" s="76"/>
      <c r="N20" s="71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6"/>
    </row>
    <row r="21" spans="1:25" ht="16.5" customHeight="1" thickBot="1" x14ac:dyDescent="0.3">
      <c r="A21" s="6">
        <v>69.700477600100001</v>
      </c>
      <c r="B21" s="6">
        <v>72.324943542499994</v>
      </c>
      <c r="C21" s="6">
        <v>0.64444541931199995</v>
      </c>
      <c r="D21" s="35">
        <v>69.479393005399999</v>
      </c>
      <c r="E21" s="6">
        <v>68.096183776900006</v>
      </c>
      <c r="F21" s="6">
        <v>1.68313980103</v>
      </c>
      <c r="G21" s="31">
        <v>70.525146484399997</v>
      </c>
      <c r="H21" s="6">
        <v>71.432044982899995</v>
      </c>
      <c r="I21" s="6">
        <v>0.105690956116</v>
      </c>
      <c r="J21" s="6">
        <v>68.1133270264</v>
      </c>
      <c r="K21" s="76"/>
      <c r="N21" s="71"/>
      <c r="O21" s="72" t="s">
        <v>55</v>
      </c>
      <c r="P21" s="72" t="s">
        <v>56</v>
      </c>
      <c r="Q21" s="72" t="s">
        <v>57</v>
      </c>
      <c r="R21" s="72" t="s">
        <v>58</v>
      </c>
      <c r="S21" s="72" t="s">
        <v>59</v>
      </c>
      <c r="T21" s="72" t="s">
        <v>60</v>
      </c>
      <c r="U21" s="72" t="s">
        <v>61</v>
      </c>
      <c r="V21" s="72" t="s">
        <v>62</v>
      </c>
      <c r="W21" s="72" t="s">
        <v>63</v>
      </c>
      <c r="X21" s="72" t="s">
        <v>64</v>
      </c>
      <c r="Y21" s="76"/>
    </row>
    <row r="22" spans="1:25" ht="16.5" customHeight="1" thickBot="1" x14ac:dyDescent="0.3">
      <c r="A22" s="7" t="s">
        <v>55</v>
      </c>
      <c r="B22" s="7" t="s">
        <v>56</v>
      </c>
      <c r="C22" s="7" t="s">
        <v>57</v>
      </c>
      <c r="D22" s="7" t="s">
        <v>58</v>
      </c>
      <c r="E22" s="7" t="s">
        <v>59</v>
      </c>
      <c r="F22" s="7" t="s">
        <v>60</v>
      </c>
      <c r="G22" s="7" t="s">
        <v>61</v>
      </c>
      <c r="H22" s="7" t="s">
        <v>62</v>
      </c>
      <c r="I22" s="7" t="s">
        <v>63</v>
      </c>
      <c r="J22" s="7" t="s">
        <v>64</v>
      </c>
      <c r="K22" s="76"/>
      <c r="N22" s="71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6"/>
    </row>
    <row r="23" spans="1:25" ht="16.5" customHeight="1" thickBot="1" x14ac:dyDescent="0.3">
      <c r="A23" s="8">
        <v>65.514083862299998</v>
      </c>
      <c r="B23" s="8">
        <v>68.956329345699999</v>
      </c>
      <c r="C23" s="8">
        <v>69.186424255399999</v>
      </c>
      <c r="D23" s="36">
        <v>68.313644409199995</v>
      </c>
      <c r="E23" s="8">
        <v>57.0247650146</v>
      </c>
      <c r="F23" s="8">
        <v>66.929862976099997</v>
      </c>
      <c r="G23" s="33">
        <v>68.275329589799995</v>
      </c>
      <c r="H23" s="8">
        <v>2.05080509186</v>
      </c>
      <c r="I23" s="8">
        <v>72.3003616333</v>
      </c>
      <c r="J23" s="8">
        <v>33.627746582</v>
      </c>
      <c r="K23" s="76"/>
      <c r="N23" s="71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6"/>
    </row>
    <row r="24" spans="1:25" ht="16.5" customHeight="1" thickBot="1" x14ac:dyDescent="0.3">
      <c r="A24" s="6">
        <v>66.365501403799996</v>
      </c>
      <c r="B24" s="6">
        <v>70.814468383800005</v>
      </c>
      <c r="C24" s="6">
        <v>71.609260559099994</v>
      </c>
      <c r="D24" s="35">
        <v>70.733001709000007</v>
      </c>
      <c r="E24" s="6">
        <v>69.607666015600003</v>
      </c>
      <c r="F24" s="6">
        <v>68.1845703125</v>
      </c>
      <c r="G24" s="31">
        <v>22.349048614499999</v>
      </c>
      <c r="H24" s="6">
        <v>3.0746221542400001</v>
      </c>
      <c r="I24" s="6">
        <v>71.030212402299995</v>
      </c>
      <c r="J24" s="6">
        <v>69.936058044399999</v>
      </c>
      <c r="K24" s="76"/>
      <c r="N24" s="71"/>
      <c r="O24" s="72" t="s">
        <v>65</v>
      </c>
      <c r="P24" s="72" t="s">
        <v>66</v>
      </c>
      <c r="Q24" s="72" t="s">
        <v>67</v>
      </c>
      <c r="R24" s="72" t="s">
        <v>68</v>
      </c>
      <c r="S24" s="72" t="s">
        <v>69</v>
      </c>
      <c r="T24" s="72" t="s">
        <v>70</v>
      </c>
      <c r="U24" s="72" t="s">
        <v>71</v>
      </c>
      <c r="V24" s="72" t="s">
        <v>72</v>
      </c>
      <c r="W24" s="72" t="s">
        <v>73</v>
      </c>
      <c r="X24" s="72" t="s">
        <v>74</v>
      </c>
      <c r="Y24" s="76"/>
    </row>
    <row r="25" spans="1:25" ht="16.5" customHeight="1" thickBot="1" x14ac:dyDescent="0.3">
      <c r="A25" s="7" t="s">
        <v>65</v>
      </c>
      <c r="B25" s="7" t="s">
        <v>66</v>
      </c>
      <c r="C25" s="7" t="s">
        <v>67</v>
      </c>
      <c r="D25" s="7" t="s">
        <v>68</v>
      </c>
      <c r="E25" s="7" t="s">
        <v>69</v>
      </c>
      <c r="F25" s="7" t="s">
        <v>70</v>
      </c>
      <c r="G25" s="7" t="s">
        <v>71</v>
      </c>
      <c r="H25" s="7" t="s">
        <v>72</v>
      </c>
      <c r="I25" s="7" t="s">
        <v>73</v>
      </c>
      <c r="J25" s="7" t="s">
        <v>74</v>
      </c>
      <c r="K25" s="76"/>
      <c r="N25" s="71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6"/>
    </row>
    <row r="26" spans="1:25" ht="16.5" customHeight="1" thickBot="1" x14ac:dyDescent="0.3">
      <c r="A26" s="8">
        <v>69.955703735399993</v>
      </c>
      <c r="B26" s="8">
        <v>71.562385559099994</v>
      </c>
      <c r="C26" s="8">
        <v>2.5804996490500001</v>
      </c>
      <c r="D26" s="36">
        <v>24.054454803500001</v>
      </c>
      <c r="E26" s="8">
        <v>27.996683120699998</v>
      </c>
      <c r="F26" s="8">
        <v>67.750122070299994</v>
      </c>
      <c r="G26" s="33">
        <v>68.522979736300002</v>
      </c>
      <c r="H26" s="8">
        <v>69.445610046400006</v>
      </c>
      <c r="I26" s="8">
        <v>68.766593933099998</v>
      </c>
      <c r="J26" s="8">
        <v>63.4332427979</v>
      </c>
      <c r="K26" s="76"/>
      <c r="N26" s="71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6"/>
    </row>
    <row r="27" spans="1:25" ht="16.350000000000001" customHeight="1" thickBot="1" x14ac:dyDescent="0.3">
      <c r="A27" s="6">
        <v>67.012954711899994</v>
      </c>
      <c r="B27" s="6">
        <v>69.926452636700006</v>
      </c>
      <c r="C27" s="6">
        <v>9.8520278930699998</v>
      </c>
      <c r="D27" s="35">
        <v>69.501785278300005</v>
      </c>
      <c r="E27" s="6">
        <v>69.430900573700001</v>
      </c>
      <c r="F27" s="6">
        <v>70.321319580099996</v>
      </c>
      <c r="G27" s="31">
        <v>70.642234802199994</v>
      </c>
      <c r="H27" s="6">
        <v>50.4479179382</v>
      </c>
      <c r="I27" s="6">
        <v>67.981170654300001</v>
      </c>
      <c r="J27" s="6">
        <v>64.725852966299996</v>
      </c>
      <c r="K27" s="2"/>
      <c r="O27" s="72" t="s">
        <v>75</v>
      </c>
      <c r="P27" s="72" t="s">
        <v>76</v>
      </c>
      <c r="Q27" s="72" t="s">
        <v>77</v>
      </c>
      <c r="R27" s="72" t="s">
        <v>78</v>
      </c>
      <c r="S27" s="72" t="s">
        <v>79</v>
      </c>
      <c r="T27" s="72" t="s">
        <v>80</v>
      </c>
      <c r="U27" s="72" t="s">
        <v>81</v>
      </c>
      <c r="V27" s="72" t="s">
        <v>82</v>
      </c>
      <c r="W27" s="72" t="s">
        <v>83</v>
      </c>
      <c r="X27" s="72" t="s">
        <v>84</v>
      </c>
    </row>
    <row r="28" spans="1:25" ht="15" customHeight="1" thickBot="1" x14ac:dyDescent="0.3">
      <c r="A28" s="7" t="s">
        <v>75</v>
      </c>
      <c r="B28" s="7" t="s">
        <v>76</v>
      </c>
      <c r="C28" s="7" t="s">
        <v>77</v>
      </c>
      <c r="D28" s="7" t="s">
        <v>78</v>
      </c>
      <c r="E28" s="7" t="s">
        <v>79</v>
      </c>
      <c r="F28" s="7" t="s">
        <v>80</v>
      </c>
      <c r="G28" s="7" t="s">
        <v>81</v>
      </c>
      <c r="H28" s="7" t="s">
        <v>82</v>
      </c>
      <c r="I28" s="7" t="s">
        <v>83</v>
      </c>
      <c r="J28" s="7" t="s">
        <v>84</v>
      </c>
      <c r="K28" s="2"/>
      <c r="O28" s="73"/>
      <c r="P28" s="73"/>
      <c r="Q28" s="73"/>
      <c r="R28" s="73"/>
      <c r="S28" s="73"/>
      <c r="T28" s="73"/>
      <c r="U28" s="73"/>
      <c r="V28" s="73"/>
      <c r="W28" s="73"/>
      <c r="X28" s="73"/>
    </row>
    <row r="29" spans="1:25" ht="16.350000000000001" customHeight="1" thickBot="1" x14ac:dyDescent="0.3">
      <c r="A29" s="10">
        <v>63.384819030800003</v>
      </c>
      <c r="B29" s="10">
        <v>67.301681518600006</v>
      </c>
      <c r="C29" s="10">
        <v>69.664382934599999</v>
      </c>
      <c r="D29" s="37">
        <v>68.9228973389</v>
      </c>
      <c r="E29" s="10">
        <v>68.925216674799998</v>
      </c>
      <c r="F29" s="10">
        <v>38.092803955100003</v>
      </c>
      <c r="G29" s="34">
        <v>70.359756469700002</v>
      </c>
      <c r="H29" s="10">
        <v>70.946502685499993</v>
      </c>
      <c r="I29" s="10">
        <v>53.667213439900003</v>
      </c>
      <c r="J29" s="10">
        <v>66.680786132799994</v>
      </c>
      <c r="K29" s="2"/>
      <c r="O29" s="74"/>
      <c r="P29" s="74"/>
      <c r="Q29" s="74"/>
      <c r="R29" s="74"/>
      <c r="S29" s="74"/>
      <c r="T29" s="74"/>
      <c r="U29" s="74"/>
      <c r="V29" s="74"/>
      <c r="W29" s="74"/>
      <c r="X29" s="74"/>
    </row>
    <row r="30" spans="1:25" ht="16.350000000000001" customHeight="1" thickBot="1" x14ac:dyDescent="0.3">
      <c r="A30" s="5"/>
      <c r="B30" s="6">
        <v>65.030380249000004</v>
      </c>
      <c r="C30" s="6">
        <v>68.892288207999997</v>
      </c>
      <c r="D30" s="35">
        <v>0.40280818939200003</v>
      </c>
      <c r="E30" s="6">
        <v>70.624778747600004</v>
      </c>
      <c r="F30" s="6">
        <v>69.695922851600002</v>
      </c>
      <c r="G30" s="31">
        <v>70.077369689899996</v>
      </c>
      <c r="H30" s="6">
        <v>69.133117675799994</v>
      </c>
      <c r="I30" s="6">
        <v>67.198562622099999</v>
      </c>
      <c r="J30" s="5"/>
      <c r="K30" s="2"/>
      <c r="O30" s="39"/>
      <c r="P30" s="75" t="s">
        <v>85</v>
      </c>
      <c r="Q30" s="72" t="s">
        <v>86</v>
      </c>
      <c r="R30" s="72" t="s">
        <v>87</v>
      </c>
      <c r="S30" s="72" t="s">
        <v>88</v>
      </c>
      <c r="T30" s="72" t="s">
        <v>89</v>
      </c>
      <c r="U30" s="72" t="s">
        <v>90</v>
      </c>
      <c r="V30" s="72" t="s">
        <v>91</v>
      </c>
      <c r="W30" s="72" t="s">
        <v>92</v>
      </c>
      <c r="X30" s="39"/>
    </row>
    <row r="31" spans="1:25" ht="18.95" customHeight="1" thickBot="1" x14ac:dyDescent="0.3">
      <c r="A31" s="5"/>
      <c r="B31" s="7" t="s">
        <v>85</v>
      </c>
      <c r="C31" s="7" t="s">
        <v>86</v>
      </c>
      <c r="D31" s="7" t="s">
        <v>87</v>
      </c>
      <c r="E31" s="7" t="s">
        <v>88</v>
      </c>
      <c r="F31" s="7" t="s">
        <v>89</v>
      </c>
      <c r="G31" s="7" t="s">
        <v>90</v>
      </c>
      <c r="H31" s="7" t="s">
        <v>91</v>
      </c>
      <c r="I31" s="7" t="s">
        <v>92</v>
      </c>
      <c r="J31" s="5"/>
      <c r="K31" s="16"/>
      <c r="O31" s="39"/>
      <c r="P31" s="76"/>
      <c r="Q31" s="73"/>
      <c r="R31" s="73"/>
      <c r="S31" s="73"/>
      <c r="T31" s="73"/>
      <c r="U31" s="73"/>
      <c r="V31" s="73"/>
      <c r="W31" s="73"/>
      <c r="X31" s="39"/>
    </row>
    <row r="32" spans="1:25" ht="18.95" customHeight="1" thickBot="1" x14ac:dyDescent="0.3">
      <c r="A32" s="5"/>
      <c r="B32" s="10">
        <v>66.633537292499994</v>
      </c>
      <c r="C32" s="8">
        <v>65.276405334499998</v>
      </c>
      <c r="D32" s="36">
        <v>0.143933296204</v>
      </c>
      <c r="E32" s="8">
        <v>24.044227600100001</v>
      </c>
      <c r="F32" s="8">
        <v>70.059677124000004</v>
      </c>
      <c r="G32" s="33">
        <v>68.969985961899994</v>
      </c>
      <c r="H32" s="8">
        <v>68.430137634299996</v>
      </c>
      <c r="I32" s="10">
        <v>65.000823974599996</v>
      </c>
      <c r="J32" s="5"/>
      <c r="K32" s="16"/>
      <c r="O32" s="39"/>
      <c r="P32" s="77"/>
      <c r="Q32" s="74"/>
      <c r="R32" s="74"/>
      <c r="S32" s="74"/>
      <c r="T32" s="74"/>
      <c r="U32" s="74"/>
      <c r="V32" s="74"/>
      <c r="W32" s="74"/>
      <c r="X32" s="39"/>
    </row>
    <row r="33" spans="1:24" ht="16.350000000000001" customHeight="1" thickBot="1" x14ac:dyDescent="0.3">
      <c r="A33" s="5"/>
      <c r="B33" s="5"/>
      <c r="C33" s="6">
        <v>66.752052307100001</v>
      </c>
      <c r="D33" s="35">
        <v>59.314323425300003</v>
      </c>
      <c r="E33" s="6">
        <v>0.84712505340599997</v>
      </c>
      <c r="F33" s="6">
        <v>68.167068481399994</v>
      </c>
      <c r="G33" s="31">
        <v>5.5122375488299999E-2</v>
      </c>
      <c r="H33" s="6">
        <v>0.19428730011000001</v>
      </c>
      <c r="I33" s="5"/>
      <c r="J33" s="5"/>
      <c r="K33" s="2"/>
      <c r="O33" s="79"/>
      <c r="P33" s="39"/>
      <c r="Q33" s="72" t="s">
        <v>93</v>
      </c>
      <c r="R33" s="72" t="s">
        <v>94</v>
      </c>
      <c r="S33" s="72" t="s">
        <v>95</v>
      </c>
      <c r="T33" s="72" t="s">
        <v>96</v>
      </c>
      <c r="U33" s="72" t="s">
        <v>97</v>
      </c>
      <c r="V33" s="72" t="s">
        <v>98</v>
      </c>
      <c r="W33" s="39"/>
      <c r="X33" s="96"/>
    </row>
    <row r="34" spans="1:24" ht="16.350000000000001" customHeight="1" thickBot="1" x14ac:dyDescent="0.3">
      <c r="A34" s="5"/>
      <c r="B34" s="5"/>
      <c r="C34" s="7" t="s">
        <v>93</v>
      </c>
      <c r="D34" s="7" t="s">
        <v>94</v>
      </c>
      <c r="E34" s="7" t="s">
        <v>95</v>
      </c>
      <c r="F34" s="7" t="s">
        <v>96</v>
      </c>
      <c r="G34" s="7" t="s">
        <v>97</v>
      </c>
      <c r="H34" s="7" t="s">
        <v>98</v>
      </c>
      <c r="I34" s="5"/>
      <c r="J34" s="5"/>
      <c r="K34" s="2"/>
      <c r="O34" s="80"/>
      <c r="P34" s="39"/>
      <c r="Q34" s="73"/>
      <c r="R34" s="73"/>
      <c r="S34" s="73"/>
      <c r="T34" s="73"/>
      <c r="U34" s="73"/>
      <c r="V34" s="73"/>
      <c r="W34" s="39"/>
      <c r="X34" s="80"/>
    </row>
    <row r="35" spans="1:24" ht="16.350000000000001" customHeight="1" thickBot="1" x14ac:dyDescent="0.3">
      <c r="A35" s="5"/>
      <c r="B35" s="5"/>
      <c r="C35" s="10">
        <v>65.5478973389</v>
      </c>
      <c r="D35" s="37">
        <v>34.101844787600001</v>
      </c>
      <c r="E35" s="10">
        <v>68.080184936500004</v>
      </c>
      <c r="F35" s="10">
        <v>68.932128906200006</v>
      </c>
      <c r="G35" s="34">
        <v>67.213180542000003</v>
      </c>
      <c r="H35" s="10">
        <v>65.398262023900003</v>
      </c>
      <c r="I35" s="5"/>
      <c r="J35" s="5"/>
      <c r="K35" s="2"/>
      <c r="O35" s="80"/>
      <c r="P35" s="39"/>
      <c r="Q35" s="74"/>
      <c r="R35" s="74"/>
      <c r="S35" s="74"/>
      <c r="T35" s="74"/>
      <c r="U35" s="74"/>
      <c r="V35" s="74"/>
      <c r="W35" s="39"/>
      <c r="X35" s="80"/>
    </row>
    <row r="36" spans="1:24" ht="14.1" customHeight="1" x14ac:dyDescent="0.5">
      <c r="A36" s="11"/>
      <c r="B36" s="11"/>
      <c r="C36" s="11"/>
      <c r="D36" s="90" t="s">
        <v>99</v>
      </c>
      <c r="E36" s="88"/>
      <c r="F36" s="88"/>
      <c r="G36" s="88"/>
      <c r="H36" s="11"/>
      <c r="I36" s="2"/>
      <c r="J36" s="2"/>
      <c r="K36" s="2"/>
      <c r="R36" s="87"/>
      <c r="S36" s="88"/>
      <c r="T36" s="88"/>
      <c r="U36" s="88"/>
    </row>
    <row r="37" spans="1:24" x14ac:dyDescent="0.25">
      <c r="A37" s="11"/>
      <c r="B37" s="11"/>
      <c r="C37" s="11"/>
      <c r="D37" s="80"/>
      <c r="E37" s="80"/>
      <c r="F37" s="80"/>
      <c r="G37" s="80"/>
      <c r="H37" s="11"/>
      <c r="I37" s="2"/>
      <c r="J37" s="2"/>
      <c r="K37" s="2"/>
      <c r="R37" s="85" t="s">
        <v>99</v>
      </c>
      <c r="S37" s="80"/>
      <c r="T37" s="80"/>
      <c r="U37" s="80"/>
    </row>
    <row r="38" spans="1:24" ht="25.7" customHeight="1" x14ac:dyDescent="0.25">
      <c r="A38" s="12" t="str">
        <f>"Yield (&gt; " &amp; $B$48 &amp; "V):"</f>
        <v>Yield (&gt; 45V):</v>
      </c>
      <c r="B38" s="12"/>
      <c r="C38" s="27" t="s">
        <v>100</v>
      </c>
      <c r="D38" s="2"/>
      <c r="E38" s="22"/>
      <c r="F38" s="13"/>
      <c r="G38" s="13"/>
      <c r="H38" s="11"/>
      <c r="I38" s="2"/>
      <c r="J38" s="2"/>
      <c r="K38" s="2"/>
      <c r="R38" s="80"/>
      <c r="S38" s="80"/>
      <c r="T38" s="80"/>
      <c r="U38" s="80"/>
    </row>
    <row r="39" spans="1:24" ht="18.399999999999999" customHeight="1" x14ac:dyDescent="0.25">
      <c r="A39" s="14" t="s">
        <v>101</v>
      </c>
      <c r="B39" s="25" t="str">
        <f ca="1">ROUNDUP(H140,2)&amp;"%"</f>
        <v>77.28%</v>
      </c>
      <c r="C39" s="28">
        <f ca="1">ROUNDUP(STDEVA(F52:F139),1)</f>
        <v>27.200000000000003</v>
      </c>
      <c r="D39" s="2"/>
      <c r="E39" s="23"/>
      <c r="F39" s="2" t="s">
        <v>102</v>
      </c>
      <c r="G39" s="15"/>
      <c r="H39" s="11"/>
      <c r="I39" s="2"/>
      <c r="J39" s="2"/>
      <c r="S39" s="21"/>
    </row>
    <row r="40" spans="1:24" ht="18.399999999999999" customHeight="1" x14ac:dyDescent="0.25">
      <c r="A40" s="14" t="s">
        <v>103</v>
      </c>
      <c r="B40" s="25" t="str">
        <f ca="1">ROUNDUP(I140,2)&amp;"%"</f>
        <v>77.28%</v>
      </c>
      <c r="C40" s="28">
        <f ca="1">ROUNDUP(STDEVA(G52:G139),1)</f>
        <v>22.5</v>
      </c>
      <c r="D40" s="2"/>
      <c r="E40" s="24"/>
      <c r="F40" s="2" t="s">
        <v>104</v>
      </c>
      <c r="G40" s="16"/>
      <c r="H40" s="16"/>
      <c r="I40" s="16"/>
      <c r="J40" s="16"/>
      <c r="S40" s="21" t="str">
        <f>"Bidirectional device &gt;"&amp; $B$48 &amp;"V both sides"</f>
        <v>Bidirectional device &gt;45V both sides</v>
      </c>
      <c r="T40">
        <f ca="1">COUNTIF($N$52:$N$139,"BD")</f>
        <v>52</v>
      </c>
    </row>
    <row r="41" spans="1:24" ht="18.399999999999999" customHeight="1" x14ac:dyDescent="0.25">
      <c r="A41" s="17" t="s">
        <v>105</v>
      </c>
      <c r="B41" s="26" t="str">
        <f ca="1">ROUNDUP(J140,2)&amp;"%"</f>
        <v>59.1%</v>
      </c>
      <c r="C41" s="29"/>
      <c r="D41" s="2"/>
      <c r="E41" s="16"/>
      <c r="F41" s="16"/>
      <c r="G41" s="16"/>
      <c r="H41" s="16"/>
      <c r="I41" s="16"/>
      <c r="J41" s="16"/>
      <c r="O41" s="19"/>
      <c r="S41" s="21" t="str">
        <f>"Single Directional Device &gt;"&amp; ROUNDDOWN($B$48/2,0) &amp;"V one side"</f>
        <v>Single Directional Device &gt;22V one side</v>
      </c>
      <c r="T41">
        <f ca="1">COUNTIF($N$52:$N$139,"UD")</f>
        <v>33</v>
      </c>
    </row>
    <row r="42" spans="1:24" ht="18.399999999999999" customHeight="1" x14ac:dyDescent="0.25">
      <c r="A42" s="16"/>
      <c r="B42" s="15"/>
      <c r="C42" s="15"/>
      <c r="D42" s="15"/>
      <c r="E42" s="15"/>
      <c r="F42" s="15"/>
      <c r="G42" s="15"/>
      <c r="H42" s="16"/>
      <c r="I42" s="16"/>
      <c r="J42" s="2"/>
      <c r="O42" s="19"/>
    </row>
    <row r="43" spans="1:24" ht="18.399999999999999" customHeight="1" x14ac:dyDescent="0.25">
      <c r="A43" s="89" t="s">
        <v>106</v>
      </c>
      <c r="B43" s="80"/>
      <c r="C43" s="42">
        <f ca="1">IFERROR(AVERAGEIF(J52:J139,"1",K52:K139),"")</f>
        <v>3.2293175734003841</v>
      </c>
      <c r="D43" t="s">
        <v>107</v>
      </c>
      <c r="E43" s="15"/>
      <c r="F43" s="15"/>
      <c r="G43" s="15"/>
      <c r="H43" s="16"/>
      <c r="I43" s="16"/>
      <c r="J43" s="2"/>
      <c r="O43" s="19"/>
      <c r="R43" s="19"/>
    </row>
    <row r="44" spans="1:24" ht="18.399999999999999" customHeight="1" x14ac:dyDescent="0.25">
      <c r="A44" s="89" t="s">
        <v>108</v>
      </c>
      <c r="B44" s="80"/>
      <c r="C44" s="42">
        <f ca="1">IFERROR(AVERAGEIF(J52:J139,"1",L52:L139),"")</f>
        <v>3.2999756244513461</v>
      </c>
      <c r="D44" t="s">
        <v>107</v>
      </c>
      <c r="E44" s="11"/>
      <c r="F44" s="11"/>
      <c r="G44" s="11"/>
      <c r="H44" s="16"/>
      <c r="I44" s="16"/>
      <c r="R44" s="19"/>
    </row>
    <row r="45" spans="1:24" ht="18.399999999999999" customHeight="1" x14ac:dyDescent="0.25">
      <c r="A45" s="11"/>
      <c r="B45" s="11"/>
      <c r="C45" s="11"/>
      <c r="D45" s="11"/>
      <c r="E45" s="11"/>
      <c r="F45" s="11"/>
      <c r="G45" s="11"/>
      <c r="H45" s="16"/>
      <c r="I45" s="16"/>
      <c r="J45" s="2"/>
    </row>
    <row r="46" spans="1:24" x14ac:dyDescent="0.25">
      <c r="A46" s="11"/>
      <c r="B46" s="11"/>
      <c r="C46" s="11"/>
      <c r="D46" s="11"/>
      <c r="E46" s="11"/>
      <c r="F46" s="11"/>
      <c r="G46" s="11"/>
      <c r="H46" s="11"/>
      <c r="I46" s="2"/>
      <c r="J46" s="2"/>
    </row>
    <row r="47" spans="1:24" x14ac:dyDescent="0.25">
      <c r="A47" s="11"/>
      <c r="B47" s="11"/>
      <c r="C47" s="11"/>
      <c r="D47" s="11"/>
      <c r="E47" s="11"/>
      <c r="F47" s="11"/>
      <c r="G47" s="11"/>
      <c r="H47" s="11"/>
      <c r="I47" s="2"/>
      <c r="J47" s="2"/>
    </row>
    <row r="48" spans="1:24" x14ac:dyDescent="0.25">
      <c r="A48" s="48" t="s">
        <v>109</v>
      </c>
      <c r="B48" s="49">
        <v>45</v>
      </c>
      <c r="C48" s="50" t="s">
        <v>110</v>
      </c>
      <c r="D48" s="51" t="s">
        <v>111</v>
      </c>
      <c r="E48" s="49">
        <v>90</v>
      </c>
      <c r="F48" s="50" t="s">
        <v>110</v>
      </c>
    </row>
    <row r="51" spans="1:27" x14ac:dyDescent="0.25">
      <c r="A51" s="63" t="s">
        <v>1</v>
      </c>
      <c r="B51" s="63" t="s">
        <v>112</v>
      </c>
      <c r="C51" s="63" t="s">
        <v>113</v>
      </c>
      <c r="D51" s="63" t="s">
        <v>101</v>
      </c>
      <c r="E51" s="63" t="s">
        <v>103</v>
      </c>
      <c r="F51" s="63" t="s">
        <v>114</v>
      </c>
      <c r="G51" s="63" t="s">
        <v>115</v>
      </c>
      <c r="H51" s="64" t="s">
        <v>116</v>
      </c>
      <c r="I51" s="64" t="s">
        <v>117</v>
      </c>
      <c r="J51" s="64" t="s">
        <v>118</v>
      </c>
      <c r="K51" s="65" t="s">
        <v>119</v>
      </c>
      <c r="L51" s="66" t="s">
        <v>120</v>
      </c>
    </row>
    <row r="52" spans="1:27" x14ac:dyDescent="0.25">
      <c r="A52" t="str">
        <f>C2</f>
        <v>93376</v>
      </c>
      <c r="B52">
        <v>1</v>
      </c>
      <c r="C52">
        <v>1</v>
      </c>
      <c r="D52" s="38">
        <v>6</v>
      </c>
      <c r="F52" s="18">
        <f t="array" aca="1" ref="F52" ca="1">INDIRECT(ADDRESS($D52,MATCH("Die "&amp;$C52,INDIRECT("A"&amp;$D52+1&amp;":J"&amp;$D52+1,TRUE),4),TRUE))</f>
        <v>0.83975791931199995</v>
      </c>
      <c r="G52" s="18">
        <f t="array" aca="1" ref="G52" ca="1">INDIRECT(ADDRESS(D52+2,MATCH("Die "&amp;C52,INDIRECT("A"&amp;D52+1&amp;":J"&amp;D52+1,TRUE),4),TRUE))</f>
        <v>69.338516235399993</v>
      </c>
      <c r="H52">
        <f t="shared" ref="H52:H83" ca="1" si="0">IF(AND(ISNUMBER(F52),F52 &gt;=$B$48,F52&lt;$E$48),1,0)</f>
        <v>0</v>
      </c>
      <c r="I52">
        <f t="shared" ref="I52:I83" ca="1" si="1">IF(AND(ISNUMBER(G52),G52 &gt;= $B$48,G52&lt;$E$48),1,0)</f>
        <v>1</v>
      </c>
      <c r="J52">
        <f t="shared" ref="J52:J83" ca="1" si="2">IF(AND(H52 = 1, I52 = 1),1,0)</f>
        <v>0</v>
      </c>
      <c r="K52" s="43">
        <v>3.32614183426</v>
      </c>
      <c r="L52">
        <v>3.6545014381400001</v>
      </c>
      <c r="N52" s="47" t="str">
        <f t="shared" ref="N52:N83" ca="1" si="3">IF(OR(ISNUMBER(F52),ISNUMBER(G52)),IF(AND(ISNUMBER(F52),ISNUMBER(G52),F52&gt;=$B$48,G52&gt;=$B$48,F52&lt;$E$48,G52&lt;$E$48),"BD",IF(OR(F52&gt;=$B$48/2,G52&gt;=$B$48/2),"UD","")),"")</f>
        <v>UD</v>
      </c>
      <c r="O52" s="43"/>
      <c r="AA52" s="47" t="str">
        <f t="shared" ref="AA52:AA83" ca="1" si="4">IF(AND(N52="",COUNTIF($N$52:$N$139,"UD")=0),"",IF(N52="BD","A",IF(N52="UD","B","C")))</f>
        <v>B</v>
      </c>
    </row>
    <row r="53" spans="1:27" x14ac:dyDescent="0.25">
      <c r="C53">
        <v>2</v>
      </c>
      <c r="D53" s="38">
        <v>6</v>
      </c>
      <c r="F53" s="18">
        <f t="array" aca="1" ref="F53" ca="1">INDIRECT(ADDRESS(D53,MATCH("Die "&amp;C53,INDIRECT("A"&amp;D53+1&amp;":J"&amp;D53+1,TRUE),4),TRUE))</f>
        <v>69.678474426299999</v>
      </c>
      <c r="G53" s="18">
        <f t="array" aca="1" ref="G53" ca="1">INDIRECT(ADDRESS(D53+2,MATCH("Die "&amp;C53,INDIRECT("A"&amp;D53+1&amp;":J"&amp;D53+1,TRUE),4),TRUE))</f>
        <v>58.591938018800001</v>
      </c>
      <c r="H53">
        <f t="shared" ca="1" si="0"/>
        <v>1</v>
      </c>
      <c r="I53">
        <f t="shared" ca="1" si="1"/>
        <v>1</v>
      </c>
      <c r="J53">
        <f t="shared" ca="1" si="2"/>
        <v>1</v>
      </c>
      <c r="K53" s="43">
        <v>3.2761859893800001</v>
      </c>
      <c r="L53">
        <v>3.2856917381300002</v>
      </c>
      <c r="N53" s="47" t="str">
        <f t="shared" ca="1" si="3"/>
        <v>BD</v>
      </c>
      <c r="O53" s="43"/>
      <c r="AA53" s="47" t="str">
        <f t="shared" ca="1" si="4"/>
        <v>A</v>
      </c>
    </row>
    <row r="54" spans="1:27" x14ac:dyDescent="0.25">
      <c r="C54">
        <v>3</v>
      </c>
      <c r="D54" s="38">
        <v>6</v>
      </c>
      <c r="F54" s="18">
        <f t="array" aca="1" ref="F54" ca="1">INDIRECT(ADDRESS(D54,MATCH("Die "&amp;C54,INDIRECT("A"&amp;D54+1&amp;":J"&amp;D54+1,TRUE),4),TRUE))</f>
        <v>4.5895576477099999E-2</v>
      </c>
      <c r="G54" s="18">
        <f t="array" aca="1" ref="G54" ca="1">INDIRECT(ADDRESS(D54+2,MATCH("Die "&amp;C54,INDIRECT("A"&amp;D54+1&amp;":J"&amp;D54+1,TRUE),4),TRUE))</f>
        <v>71.164085388199993</v>
      </c>
      <c r="H54">
        <f t="shared" ca="1" si="0"/>
        <v>0</v>
      </c>
      <c r="I54">
        <f t="shared" ca="1" si="1"/>
        <v>1</v>
      </c>
      <c r="J54">
        <f t="shared" ca="1" si="2"/>
        <v>0</v>
      </c>
      <c r="K54" s="43">
        <v>2.6704668998700001</v>
      </c>
      <c r="L54">
        <v>3.5466885566699999</v>
      </c>
      <c r="N54" s="47" t="str">
        <f t="shared" ca="1" si="3"/>
        <v>UD</v>
      </c>
      <c r="O54" s="43"/>
      <c r="AA54" s="47" t="str">
        <f t="shared" ca="1" si="4"/>
        <v>B</v>
      </c>
    </row>
    <row r="55" spans="1:27" x14ac:dyDescent="0.25">
      <c r="A55" t="s">
        <v>121</v>
      </c>
      <c r="B55" s="41">
        <v>30</v>
      </c>
      <c r="C55">
        <v>4</v>
      </c>
      <c r="D55" s="38">
        <v>6</v>
      </c>
      <c r="F55" s="18">
        <f t="array" aca="1" ref="F55" ca="1">INDIRECT(ADDRESS(D55,MATCH("Die "&amp;C55,INDIRECT("A"&amp;D55+1&amp;":J"&amp;D55+1,TRUE),4),TRUE))</f>
        <v>48.376728057900003</v>
      </c>
      <c r="G55" s="18">
        <f t="array" aca="1" ref="G55" ca="1">INDIRECT(ADDRESS(D55+2,MATCH("Die "&amp;C55,INDIRECT("A"&amp;D55+1&amp;":J"&amp;D55+1,TRUE),4),TRUE))</f>
        <v>70.615959167499994</v>
      </c>
      <c r="H55">
        <f t="shared" ca="1" si="0"/>
        <v>1</v>
      </c>
      <c r="I55">
        <f t="shared" ca="1" si="1"/>
        <v>1</v>
      </c>
      <c r="J55">
        <f t="shared" ca="1" si="2"/>
        <v>1</v>
      </c>
      <c r="K55" s="43">
        <v>3.2134366035499999</v>
      </c>
      <c r="L55">
        <v>3.2991862297100001</v>
      </c>
      <c r="N55" s="47" t="str">
        <f t="shared" ca="1" si="3"/>
        <v>BD</v>
      </c>
      <c r="O55" s="43"/>
      <c r="AA55" s="47" t="str">
        <f t="shared" ca="1" si="4"/>
        <v>A</v>
      </c>
    </row>
    <row r="56" spans="1:27" x14ac:dyDescent="0.25">
      <c r="C56">
        <v>5</v>
      </c>
      <c r="D56" s="38">
        <v>6</v>
      </c>
      <c r="F56" s="18">
        <f t="array" aca="1" ref="F56" ca="1">INDIRECT(ADDRESS(D56,MATCH("Die "&amp;C56,INDIRECT("A"&amp;D56+1&amp;":J"&amp;D56+1,TRUE),4),TRUE))</f>
        <v>3.69052886963</v>
      </c>
      <c r="G56" s="18">
        <f t="array" aca="1" ref="G56" ca="1">INDIRECT(ADDRESS(D56+2,MATCH("Die "&amp;C56,INDIRECT("A"&amp;D56+1&amp;":J"&amp;D56+1,TRUE),4),TRUE))</f>
        <v>68.027732849100005</v>
      </c>
      <c r="H56">
        <f t="shared" ca="1" si="0"/>
        <v>0</v>
      </c>
      <c r="I56">
        <f t="shared" ca="1" si="1"/>
        <v>1</v>
      </c>
      <c r="J56">
        <f t="shared" ca="1" si="2"/>
        <v>0</v>
      </c>
      <c r="K56" s="43">
        <v>3.12555789948</v>
      </c>
      <c r="L56">
        <v>3.33959341049</v>
      </c>
      <c r="N56" s="47" t="str">
        <f t="shared" ca="1" si="3"/>
        <v>UD</v>
      </c>
      <c r="O56" s="43"/>
      <c r="AA56" s="47" t="str">
        <f t="shared" ca="1" si="4"/>
        <v>B</v>
      </c>
    </row>
    <row r="57" spans="1:27" x14ac:dyDescent="0.25">
      <c r="C57" s="20">
        <v>6</v>
      </c>
      <c r="D57" s="44">
        <v>6</v>
      </c>
      <c r="E57" s="20"/>
      <c r="F57" s="18">
        <f t="array" aca="1" ref="F57" ca="1">INDIRECT(ADDRESS(D57,MATCH("Die "&amp;C57,INDIRECT("A"&amp;D57+1&amp;":J"&amp;D57+1,TRUE),4),TRUE))</f>
        <v>0.159859657288</v>
      </c>
      <c r="G57" s="18">
        <f t="array" aca="1" ref="G57" ca="1">INDIRECT(ADDRESS(D57+2,MATCH("Die "&amp;C57,INDIRECT("A"&amp;D57+1&amp;":J"&amp;D57+1,TRUE),4),TRUE))</f>
        <v>4.2390823364300001E-2</v>
      </c>
      <c r="H57">
        <f t="shared" ca="1" si="0"/>
        <v>0</v>
      </c>
      <c r="I57">
        <f t="shared" ca="1" si="1"/>
        <v>0</v>
      </c>
      <c r="J57">
        <f t="shared" ca="1" si="2"/>
        <v>0</v>
      </c>
      <c r="K57" s="43">
        <v>3.1159663200400001</v>
      </c>
      <c r="L57">
        <v>3.14874172211</v>
      </c>
      <c r="N57" s="47" t="str">
        <f t="shared" ca="1" si="3"/>
        <v/>
      </c>
      <c r="O57" s="43"/>
      <c r="AA57" s="47" t="str">
        <f t="shared" ca="1" si="4"/>
        <v>C</v>
      </c>
    </row>
    <row r="58" spans="1:27" x14ac:dyDescent="0.25">
      <c r="A58" t="s">
        <v>122</v>
      </c>
      <c r="B58" s="18">
        <f ca="1">MIN($F$52:$F$139)</f>
        <v>4.5895576477099999E-2</v>
      </c>
      <c r="C58">
        <v>7</v>
      </c>
      <c r="D58" s="38">
        <v>9</v>
      </c>
      <c r="F58" s="18">
        <f>B9</f>
        <v>68.645263671899997</v>
      </c>
      <c r="G58" s="18">
        <f>B11</f>
        <v>64.330360412600001</v>
      </c>
      <c r="H58">
        <f t="shared" si="0"/>
        <v>1</v>
      </c>
      <c r="I58">
        <f t="shared" si="1"/>
        <v>1</v>
      </c>
      <c r="J58">
        <f t="shared" si="2"/>
        <v>1</v>
      </c>
      <c r="K58" s="43">
        <v>3.2248640060399998</v>
      </c>
      <c r="L58">
        <v>3.3991265296900002</v>
      </c>
      <c r="N58" s="47" t="str">
        <f t="shared" si="3"/>
        <v>BD</v>
      </c>
      <c r="O58" s="43"/>
      <c r="AA58" s="47" t="str">
        <f t="shared" ca="1" si="4"/>
        <v>A</v>
      </c>
    </row>
    <row r="59" spans="1:27" x14ac:dyDescent="0.25">
      <c r="A59" s="20" t="s">
        <v>123</v>
      </c>
      <c r="B59" s="30">
        <f ca="1">MAX($F$52:$F$139)</f>
        <v>75.209716796899997</v>
      </c>
      <c r="C59">
        <v>8</v>
      </c>
      <c r="D59" s="38">
        <f t="shared" ref="D59:D65" si="5">IF(D58=D57,D58,D57+3)</f>
        <v>9</v>
      </c>
      <c r="F59" s="18">
        <f>C9</f>
        <v>72.438667297400002</v>
      </c>
      <c r="G59" s="18">
        <f>C11</f>
        <v>69.187835693400004</v>
      </c>
      <c r="H59">
        <f t="shared" si="0"/>
        <v>1</v>
      </c>
      <c r="I59">
        <f t="shared" si="1"/>
        <v>1</v>
      </c>
      <c r="J59">
        <f t="shared" si="2"/>
        <v>1</v>
      </c>
      <c r="K59" s="43">
        <v>3.1782269477799998</v>
      </c>
      <c r="L59">
        <v>3.2392978668199999</v>
      </c>
      <c r="N59" s="47" t="str">
        <f t="shared" si="3"/>
        <v>BD</v>
      </c>
      <c r="O59" s="43"/>
      <c r="AA59" s="47" t="str">
        <f t="shared" ca="1" si="4"/>
        <v>A</v>
      </c>
    </row>
    <row r="60" spans="1:27" x14ac:dyDescent="0.25">
      <c r="A60" t="s">
        <v>124</v>
      </c>
      <c r="B60" s="18">
        <f ca="1">MIN($G$52:$G$139)</f>
        <v>-3.5715103149399997E-2</v>
      </c>
      <c r="C60">
        <v>9</v>
      </c>
      <c r="D60" s="38">
        <f t="shared" si="5"/>
        <v>9</v>
      </c>
      <c r="F60" s="18">
        <f>D9</f>
        <v>74.106788635300006</v>
      </c>
      <c r="G60" s="18">
        <f>D11</f>
        <v>19.519115448000001</v>
      </c>
      <c r="H60">
        <f t="shared" si="0"/>
        <v>1</v>
      </c>
      <c r="I60">
        <f t="shared" si="1"/>
        <v>0</v>
      </c>
      <c r="J60">
        <f t="shared" si="2"/>
        <v>0</v>
      </c>
      <c r="K60" s="43">
        <v>3.19005012512</v>
      </c>
      <c r="L60">
        <v>3.23814868927</v>
      </c>
      <c r="N60" s="47" t="str">
        <f t="shared" si="3"/>
        <v>UD</v>
      </c>
      <c r="O60" s="43"/>
      <c r="AA60" s="47" t="str">
        <f t="shared" ca="1" si="4"/>
        <v>B</v>
      </c>
    </row>
    <row r="61" spans="1:27" x14ac:dyDescent="0.25">
      <c r="A61" t="s">
        <v>125</v>
      </c>
      <c r="B61" s="18">
        <f ca="1">MAX($G$52:$G$139)</f>
        <v>73.218894958500002</v>
      </c>
      <c r="C61">
        <v>10</v>
      </c>
      <c r="D61" s="38">
        <f t="shared" si="5"/>
        <v>9</v>
      </c>
      <c r="F61" s="18">
        <f>E9</f>
        <v>74.737045288100006</v>
      </c>
      <c r="G61" s="18">
        <f>E11</f>
        <v>70.049980163599997</v>
      </c>
      <c r="H61">
        <f t="shared" si="0"/>
        <v>1</v>
      </c>
      <c r="I61">
        <f t="shared" si="1"/>
        <v>1</v>
      </c>
      <c r="J61">
        <f t="shared" si="2"/>
        <v>1</v>
      </c>
      <c r="K61" s="43">
        <v>3.21817159653</v>
      </c>
      <c r="L61">
        <v>3.24902057648</v>
      </c>
      <c r="N61" s="47" t="str">
        <f t="shared" si="3"/>
        <v>BD</v>
      </c>
      <c r="O61" s="43"/>
      <c r="AA61" s="47" t="str">
        <f t="shared" ca="1" si="4"/>
        <v>A</v>
      </c>
    </row>
    <row r="62" spans="1:27" x14ac:dyDescent="0.25">
      <c r="C62">
        <v>11</v>
      </c>
      <c r="D62" s="38">
        <f t="shared" si="5"/>
        <v>9</v>
      </c>
      <c r="F62" s="18">
        <f>F9</f>
        <v>75.209716796899997</v>
      </c>
      <c r="G62" s="18">
        <f>F11</f>
        <v>70.726371765099998</v>
      </c>
      <c r="H62">
        <f t="shared" si="0"/>
        <v>1</v>
      </c>
      <c r="I62">
        <f t="shared" si="1"/>
        <v>1</v>
      </c>
      <c r="J62">
        <f t="shared" si="2"/>
        <v>1</v>
      </c>
      <c r="K62" s="43">
        <v>3.2362580299400001</v>
      </c>
      <c r="L62">
        <v>3.2770371437099999</v>
      </c>
      <c r="N62" s="47" t="str">
        <f t="shared" si="3"/>
        <v>BD</v>
      </c>
      <c r="O62" s="43"/>
      <c r="AA62" s="47" t="str">
        <f t="shared" ca="1" si="4"/>
        <v>A</v>
      </c>
    </row>
    <row r="63" spans="1:27" x14ac:dyDescent="0.25">
      <c r="C63">
        <v>12</v>
      </c>
      <c r="D63" s="38">
        <f t="shared" si="5"/>
        <v>9</v>
      </c>
      <c r="F63" s="18">
        <f>G9</f>
        <v>74.445816039999997</v>
      </c>
      <c r="G63" s="18">
        <f>G11</f>
        <v>72.306152343799994</v>
      </c>
      <c r="H63">
        <f t="shared" si="0"/>
        <v>1</v>
      </c>
      <c r="I63">
        <f t="shared" si="1"/>
        <v>1</v>
      </c>
      <c r="J63">
        <f t="shared" si="2"/>
        <v>1</v>
      </c>
      <c r="K63" s="43">
        <v>3.2250618934599999</v>
      </c>
      <c r="L63">
        <v>3.28170537949</v>
      </c>
      <c r="N63" s="47" t="str">
        <f t="shared" si="3"/>
        <v>BD</v>
      </c>
      <c r="O63" s="43"/>
      <c r="AA63" s="47" t="str">
        <f t="shared" ca="1" si="4"/>
        <v>A</v>
      </c>
    </row>
    <row r="64" spans="1:27" x14ac:dyDescent="0.25">
      <c r="C64">
        <v>13</v>
      </c>
      <c r="D64" s="38">
        <f t="shared" si="5"/>
        <v>9</v>
      </c>
      <c r="F64" s="18">
        <f>H9</f>
        <v>70.648147582999997</v>
      </c>
      <c r="G64" s="18">
        <f>H11</f>
        <v>-3.5715103149399997E-2</v>
      </c>
      <c r="H64">
        <f t="shared" si="0"/>
        <v>1</v>
      </c>
      <c r="I64">
        <f t="shared" si="1"/>
        <v>0</v>
      </c>
      <c r="J64">
        <f t="shared" si="2"/>
        <v>0</v>
      </c>
      <c r="K64" s="43">
        <v>3.4226274490400002</v>
      </c>
      <c r="L64">
        <v>2.32756137848</v>
      </c>
      <c r="N64" s="47" t="str">
        <f t="shared" si="3"/>
        <v>UD</v>
      </c>
      <c r="O64" s="43"/>
      <c r="AA64" s="47" t="str">
        <f t="shared" ca="1" si="4"/>
        <v>B</v>
      </c>
    </row>
    <row r="65" spans="3:27" x14ac:dyDescent="0.25">
      <c r="C65" s="20">
        <v>14</v>
      </c>
      <c r="D65" s="44">
        <f t="shared" si="5"/>
        <v>9</v>
      </c>
      <c r="E65" s="20"/>
      <c r="F65" s="18">
        <f>I9</f>
        <v>68.119499206499995</v>
      </c>
      <c r="G65" s="18">
        <f>I11</f>
        <v>69.468116760300006</v>
      </c>
      <c r="H65">
        <f t="shared" si="0"/>
        <v>1</v>
      </c>
      <c r="I65">
        <f t="shared" si="1"/>
        <v>1</v>
      </c>
      <c r="J65">
        <f t="shared" si="2"/>
        <v>1</v>
      </c>
      <c r="K65" s="43">
        <v>3.3301377296400001</v>
      </c>
      <c r="L65">
        <v>3.2981419563299998</v>
      </c>
      <c r="N65" s="47" t="str">
        <f t="shared" si="3"/>
        <v>BD</v>
      </c>
      <c r="O65" s="43"/>
      <c r="AA65" s="47" t="str">
        <f t="shared" ca="1" si="4"/>
        <v>A</v>
      </c>
    </row>
    <row r="66" spans="3:27" x14ac:dyDescent="0.25">
      <c r="C66">
        <v>15</v>
      </c>
      <c r="D66" s="38">
        <v>12</v>
      </c>
      <c r="F66" s="18">
        <f t="array" aca="1" ref="F66" ca="1">INDIRECT(ADDRESS(D66,MATCH("Die "&amp;C66,INDIRECT("A"&amp;D66+1&amp;":J"&amp;D66+1,TRUE),4),TRUE))</f>
        <v>31.8913230896</v>
      </c>
      <c r="G66" s="18">
        <f t="array" aca="1" ref="G66" ca="1">INDIRECT(ADDRESS(D66+2,MATCH("Die "&amp;C66,INDIRECT("A"&amp;D66+1&amp;":J"&amp;D66+1,TRUE),4),TRUE))</f>
        <v>39.017105102499997</v>
      </c>
      <c r="H66">
        <f t="shared" ca="1" si="0"/>
        <v>0</v>
      </c>
      <c r="I66">
        <f t="shared" ca="1" si="1"/>
        <v>0</v>
      </c>
      <c r="J66">
        <f t="shared" ca="1" si="2"/>
        <v>0</v>
      </c>
      <c r="K66" s="43">
        <v>3.5179829597499999</v>
      </c>
      <c r="L66">
        <v>3.3592653274500002</v>
      </c>
      <c r="N66" s="47" t="str">
        <f t="shared" ca="1" si="3"/>
        <v>UD</v>
      </c>
      <c r="O66" s="43"/>
      <c r="AA66" s="47" t="str">
        <f t="shared" ca="1" si="4"/>
        <v>B</v>
      </c>
    </row>
    <row r="67" spans="3:27" x14ac:dyDescent="0.25">
      <c r="C67">
        <v>16</v>
      </c>
      <c r="D67" s="38">
        <f t="shared" ref="D67:D75" si="6">IF(D66=D65,D66,D65+3)</f>
        <v>12</v>
      </c>
      <c r="F67" s="18">
        <f t="array" aca="1" ref="F67" ca="1">INDIRECT(ADDRESS(D67,MATCH("Die "&amp;C67,INDIRECT("A"&amp;D67+1&amp;":J"&amp;D67+1,TRUE),4),TRUE))</f>
        <v>70.597625732400004</v>
      </c>
      <c r="G67" s="18">
        <f t="array" aca="1" ref="G67" ca="1">INDIRECT(ADDRESS(D67+2,MATCH("Die "&amp;C67,INDIRECT("A"&amp;D67+1&amp;":J"&amp;D67+1,TRUE),4),TRUE))</f>
        <v>73.070144653300005</v>
      </c>
      <c r="H67">
        <f t="shared" ca="1" si="0"/>
        <v>1</v>
      </c>
      <c r="I67">
        <f t="shared" ca="1" si="1"/>
        <v>1</v>
      </c>
      <c r="J67">
        <f t="shared" ca="1" si="2"/>
        <v>1</v>
      </c>
      <c r="K67" s="43">
        <v>3.2601833343500002</v>
      </c>
      <c r="L67">
        <v>3.2802152633700001</v>
      </c>
      <c r="N67" s="47" t="str">
        <f t="shared" ca="1" si="3"/>
        <v>BD</v>
      </c>
      <c r="O67" s="43"/>
      <c r="AA67" s="47" t="str">
        <f t="shared" ca="1" si="4"/>
        <v>A</v>
      </c>
    </row>
    <row r="68" spans="3:27" x14ac:dyDescent="0.25">
      <c r="C68">
        <v>17</v>
      </c>
      <c r="D68" s="38">
        <f t="shared" si="6"/>
        <v>12</v>
      </c>
      <c r="F68" s="18">
        <f t="array" aca="1" ref="F68" ca="1">INDIRECT(ADDRESS(D68,MATCH("Die "&amp;C68,INDIRECT("A"&amp;D68+1&amp;":J"&amp;D68+1,TRUE),4),TRUE))</f>
        <v>74.196960449200006</v>
      </c>
      <c r="G68" s="18">
        <f t="array" aca="1" ref="G68" ca="1">INDIRECT(ADDRESS(D68+2,MATCH("Die "&amp;C68,INDIRECT("A"&amp;D68+1&amp;":J"&amp;D68+1,TRUE),4),TRUE))</f>
        <v>23.447109222400002</v>
      </c>
      <c r="H68">
        <f t="shared" ca="1" si="0"/>
        <v>1</v>
      </c>
      <c r="I68">
        <f t="shared" ca="1" si="1"/>
        <v>0</v>
      </c>
      <c r="J68">
        <f t="shared" ca="1" si="2"/>
        <v>0</v>
      </c>
      <c r="K68" s="43">
        <v>3.2736420631400001</v>
      </c>
      <c r="L68">
        <v>3.3231329917900001</v>
      </c>
      <c r="N68" s="47" t="str">
        <f t="shared" ca="1" si="3"/>
        <v>UD</v>
      </c>
      <c r="O68" s="43"/>
      <c r="AA68" s="47" t="str">
        <f t="shared" ca="1" si="4"/>
        <v>B</v>
      </c>
    </row>
    <row r="69" spans="3:27" x14ac:dyDescent="0.25">
      <c r="C69">
        <v>18</v>
      </c>
      <c r="D69" s="38">
        <f t="shared" si="6"/>
        <v>12</v>
      </c>
      <c r="F69" s="18">
        <f t="array" aca="1" ref="F69" ca="1">INDIRECT(ADDRESS(D69,MATCH("Die "&amp;C69,INDIRECT("A"&amp;D69+1&amp;":J"&amp;D69+1,TRUE),4),TRUE))</f>
        <v>74.234916686999995</v>
      </c>
      <c r="G69" s="18">
        <f t="array" aca="1" ref="G69" ca="1">INDIRECT(ADDRESS(D69+2,MATCH("Die "&amp;C69,INDIRECT("A"&amp;D69+1&amp;":J"&amp;D69+1,TRUE),4),TRUE))</f>
        <v>0.112366676331</v>
      </c>
      <c r="H69">
        <f t="shared" ca="1" si="0"/>
        <v>1</v>
      </c>
      <c r="I69">
        <f t="shared" ca="1" si="1"/>
        <v>0</v>
      </c>
      <c r="J69">
        <f t="shared" ca="1" si="2"/>
        <v>0</v>
      </c>
      <c r="K69" s="43">
        <v>3.4649872779800002</v>
      </c>
      <c r="L69">
        <v>2.8811883926399999</v>
      </c>
      <c r="N69" s="47" t="str">
        <f t="shared" ca="1" si="3"/>
        <v>UD</v>
      </c>
      <c r="O69" s="43"/>
      <c r="AA69" s="47" t="str">
        <f t="shared" ca="1" si="4"/>
        <v>B</v>
      </c>
    </row>
    <row r="70" spans="3:27" x14ac:dyDescent="0.25">
      <c r="C70">
        <v>19</v>
      </c>
      <c r="D70" s="38">
        <f t="shared" si="6"/>
        <v>12</v>
      </c>
      <c r="F70" s="18">
        <f t="array" aca="1" ref="F70" ca="1">INDIRECT(ADDRESS(D70,MATCH("Die "&amp;C70,INDIRECT("A"&amp;D70+1&amp;":J"&amp;D70+1,TRUE),4),TRUE))</f>
        <v>70.833824157699993</v>
      </c>
      <c r="G70" s="18">
        <f t="array" aca="1" ref="G70" ca="1">INDIRECT(ADDRESS(D70+2,MATCH("Die "&amp;C70,INDIRECT("A"&amp;D70+1&amp;":J"&amp;D70+1,TRUE),4),TRUE))</f>
        <v>69.416473388699998</v>
      </c>
      <c r="H70">
        <f t="shared" ca="1" si="0"/>
        <v>1</v>
      </c>
      <c r="I70">
        <f t="shared" ca="1" si="1"/>
        <v>1</v>
      </c>
      <c r="J70">
        <f t="shared" ca="1" si="2"/>
        <v>1</v>
      </c>
      <c r="K70" s="43">
        <v>3.2736420631400001</v>
      </c>
      <c r="L70">
        <v>3.3259630203200001</v>
      </c>
      <c r="N70" s="47" t="str">
        <f t="shared" ca="1" si="3"/>
        <v>BD</v>
      </c>
      <c r="O70" s="43"/>
      <c r="AA70" s="47" t="str">
        <f t="shared" ca="1" si="4"/>
        <v>A</v>
      </c>
    </row>
    <row r="71" spans="3:27" x14ac:dyDescent="0.25">
      <c r="C71">
        <v>20</v>
      </c>
      <c r="D71" s="38">
        <f t="shared" si="6"/>
        <v>12</v>
      </c>
      <c r="F71" s="18">
        <f t="array" aca="1" ref="F71" ca="1">INDIRECT(ADDRESS(D71,MATCH("Die "&amp;C71,INDIRECT("A"&amp;D71+1&amp;":J"&amp;D71+1,TRUE),4),TRUE))</f>
        <v>73.003791809099994</v>
      </c>
      <c r="G71" s="18">
        <f t="array" aca="1" ref="G71" ca="1">INDIRECT(ADDRESS(D71+2,MATCH("Die "&amp;C71,INDIRECT("A"&amp;D71+1&amp;":J"&amp;D71+1,TRUE),4),TRUE))</f>
        <v>69.0062789917</v>
      </c>
      <c r="H71">
        <f t="shared" ca="1" si="0"/>
        <v>1</v>
      </c>
      <c r="I71">
        <f t="shared" ca="1" si="1"/>
        <v>1</v>
      </c>
      <c r="J71">
        <f t="shared" ca="1" si="2"/>
        <v>1</v>
      </c>
      <c r="K71" s="43">
        <v>3.2568335533099999</v>
      </c>
      <c r="L71">
        <v>3.32172632217</v>
      </c>
      <c r="N71" s="47" t="str">
        <f t="shared" ca="1" si="3"/>
        <v>BD</v>
      </c>
      <c r="O71" s="43"/>
      <c r="AA71" s="47" t="str">
        <f t="shared" ca="1" si="4"/>
        <v>A</v>
      </c>
    </row>
    <row r="72" spans="3:27" x14ac:dyDescent="0.25">
      <c r="C72">
        <v>21</v>
      </c>
      <c r="D72" s="38">
        <f t="shared" si="6"/>
        <v>12</v>
      </c>
      <c r="F72" s="18">
        <f t="array" aca="1" ref="F72" ca="1">INDIRECT(ADDRESS(D72,MATCH("Die "&amp;C72,INDIRECT("A"&amp;D72+1&amp;":J"&amp;D72+1,TRUE),4),TRUE))</f>
        <v>72.478439331100006</v>
      </c>
      <c r="G72" s="18">
        <f t="array" aca="1" ref="G72" ca="1">INDIRECT(ADDRESS(D72+2,MATCH("Die "&amp;C72,INDIRECT("A"&amp;D72+1&amp;":J"&amp;D72+1,TRUE),4),TRUE))</f>
        <v>69.452735900899995</v>
      </c>
      <c r="H72">
        <f t="shared" ca="1" si="0"/>
        <v>1</v>
      </c>
      <c r="I72">
        <f t="shared" ca="1" si="1"/>
        <v>1</v>
      </c>
      <c r="J72">
        <f t="shared" ca="1" si="2"/>
        <v>1</v>
      </c>
      <c r="K72" s="43">
        <v>3.2386374473599999</v>
      </c>
      <c r="L72">
        <v>3.32864046097</v>
      </c>
      <c r="N72" s="47" t="str">
        <f t="shared" ca="1" si="3"/>
        <v>BD</v>
      </c>
      <c r="O72" s="43"/>
      <c r="AA72" s="47" t="str">
        <f t="shared" ca="1" si="4"/>
        <v>A</v>
      </c>
    </row>
    <row r="73" spans="3:27" x14ac:dyDescent="0.25">
      <c r="C73">
        <v>22</v>
      </c>
      <c r="D73" s="38">
        <f t="shared" si="6"/>
        <v>12</v>
      </c>
      <c r="F73" s="18">
        <f t="array" aca="1" ref="F73" ca="1">INDIRECT(ADDRESS(D73,MATCH("Die "&amp;C73,INDIRECT("A"&amp;D73+1&amp;":J"&amp;D73+1,TRUE),4),TRUE))</f>
        <v>73.201324462900004</v>
      </c>
      <c r="G73" s="18">
        <f t="array" aca="1" ref="G73" ca="1">INDIRECT(ADDRESS(D73+2,MATCH("Die "&amp;C73,INDIRECT("A"&amp;D73+1&amp;":J"&amp;D73+1,TRUE),4),TRUE))</f>
        <v>55.211925506599997</v>
      </c>
      <c r="H73">
        <f t="shared" ca="1" si="0"/>
        <v>1</v>
      </c>
      <c r="I73">
        <f t="shared" ca="1" si="1"/>
        <v>1</v>
      </c>
      <c r="J73">
        <f t="shared" ca="1" si="2"/>
        <v>1</v>
      </c>
      <c r="K73" s="43">
        <v>3.2065486908</v>
      </c>
      <c r="L73">
        <v>3.2613611221299998</v>
      </c>
      <c r="N73" s="47" t="str">
        <f t="shared" ca="1" si="3"/>
        <v>BD</v>
      </c>
      <c r="O73" s="43"/>
      <c r="AA73" s="47" t="str">
        <f t="shared" ca="1" si="4"/>
        <v>A</v>
      </c>
    </row>
    <row r="74" spans="3:27" x14ac:dyDescent="0.25">
      <c r="C74">
        <v>23</v>
      </c>
      <c r="D74" s="38">
        <f t="shared" si="6"/>
        <v>12</v>
      </c>
      <c r="F74" s="18">
        <f t="array" aca="1" ref="F74" ca="1">INDIRECT(ADDRESS(D74,MATCH("Die "&amp;C74,INDIRECT("A"&amp;D74+1&amp;":J"&amp;D74+1,TRUE),4),TRUE))</f>
        <v>71.105316162099996</v>
      </c>
      <c r="G74" s="18">
        <f t="array" aca="1" ref="G74" ca="1">INDIRECT(ADDRESS(D74+2,MATCH("Die "&amp;C74,INDIRECT("A"&amp;D74+1&amp;":J"&amp;D74+1,TRUE),4),TRUE))</f>
        <v>67.463996887199997</v>
      </c>
      <c r="H74">
        <f t="shared" ca="1" si="0"/>
        <v>1</v>
      </c>
      <c r="I74">
        <f t="shared" ca="1" si="1"/>
        <v>1</v>
      </c>
      <c r="J74">
        <f t="shared" ca="1" si="2"/>
        <v>1</v>
      </c>
      <c r="K74" s="43">
        <v>3.19378137589</v>
      </c>
      <c r="L74">
        <v>3.2837224006699999</v>
      </c>
      <c r="N74" s="47" t="str">
        <f t="shared" ca="1" si="3"/>
        <v>BD</v>
      </c>
      <c r="O74" s="43"/>
      <c r="AA74" s="47" t="str">
        <f t="shared" ca="1" si="4"/>
        <v>A</v>
      </c>
    </row>
    <row r="75" spans="3:27" x14ac:dyDescent="0.25">
      <c r="C75" s="20">
        <v>24</v>
      </c>
      <c r="D75" s="44">
        <f t="shared" si="6"/>
        <v>12</v>
      </c>
      <c r="E75" s="20"/>
      <c r="F75" s="18">
        <f t="array" aca="1" ref="F75" ca="1">INDIRECT(ADDRESS(D75,MATCH("Die "&amp;C75,INDIRECT("A"&amp;D75+1&amp;":J"&amp;D75+1,TRUE),4),TRUE))</f>
        <v>0.22287368774399999</v>
      </c>
      <c r="G75" s="18">
        <f t="array" aca="1" ref="G75" ca="1">INDIRECT(ADDRESS(D75+2,MATCH("Die "&amp;C75,INDIRECT("A"&amp;D75+1&amp;":J"&amp;D75+1,TRUE),4),TRUE))</f>
        <v>9.3889236450200003E-2</v>
      </c>
      <c r="H75">
        <f t="shared" ca="1" si="0"/>
        <v>0</v>
      </c>
      <c r="I75">
        <f t="shared" ca="1" si="1"/>
        <v>0</v>
      </c>
      <c r="J75">
        <f t="shared" ca="1" si="2"/>
        <v>0</v>
      </c>
      <c r="K75" s="43">
        <v>3.0248928070100001</v>
      </c>
      <c r="L75">
        <v>3.27386856079</v>
      </c>
      <c r="N75" s="47" t="str">
        <f t="shared" ca="1" si="3"/>
        <v/>
      </c>
      <c r="O75" s="43"/>
      <c r="AA75" s="47" t="str">
        <f t="shared" ca="1" si="4"/>
        <v>C</v>
      </c>
    </row>
    <row r="76" spans="3:27" x14ac:dyDescent="0.25">
      <c r="C76">
        <v>25</v>
      </c>
      <c r="D76" s="38">
        <v>15</v>
      </c>
      <c r="F76" s="18">
        <f t="array" aca="1" ref="F76" ca="1">INDIRECT(ADDRESS(D76,MATCH("Die "&amp;C76,INDIRECT("A"&amp;D76+1&amp;":J"&amp;D76+1,TRUE),4),TRUE))</f>
        <v>70.607254028300005</v>
      </c>
      <c r="G76" s="18">
        <f t="array" aca="1" ref="G76" ca="1">INDIRECT(ADDRESS(D76+2,MATCH("Die "&amp;C76,INDIRECT("A"&amp;D76+1&amp;":J"&amp;D76+1,TRUE),4),TRUE))</f>
        <v>63.285018920900001</v>
      </c>
      <c r="H76">
        <f t="shared" ca="1" si="0"/>
        <v>1</v>
      </c>
      <c r="I76">
        <f t="shared" ca="1" si="1"/>
        <v>1</v>
      </c>
      <c r="J76">
        <f t="shared" ca="1" si="2"/>
        <v>1</v>
      </c>
      <c r="K76" s="43">
        <v>3.1999397277799999</v>
      </c>
      <c r="L76">
        <v>3.3597278595</v>
      </c>
      <c r="N76" s="47" t="str">
        <f t="shared" ca="1" si="3"/>
        <v>BD</v>
      </c>
      <c r="O76" s="43"/>
      <c r="AA76" s="47" t="str">
        <f t="shared" ca="1" si="4"/>
        <v>A</v>
      </c>
    </row>
    <row r="77" spans="3:27" x14ac:dyDescent="0.25">
      <c r="C77">
        <v>26</v>
      </c>
      <c r="D77" s="38">
        <f t="shared" ref="D77:D85" si="7">IF(D76=D75,D76,D75+3)</f>
        <v>15</v>
      </c>
      <c r="F77" s="18">
        <f t="array" aca="1" ref="F77" ca="1">INDIRECT(ADDRESS(D77,MATCH("Die "&amp;C77,INDIRECT("A"&amp;D77+1&amp;":J"&amp;D77+1,TRUE),4),TRUE))</f>
        <v>72.575210571300005</v>
      </c>
      <c r="G77" s="18">
        <f t="array" aca="1" ref="G77" ca="1">INDIRECT(ADDRESS(D77+2,MATCH("Die "&amp;C77,INDIRECT("A"&amp;D77+1&amp;":J"&amp;D77+1,TRUE),4),TRUE))</f>
        <v>69.821784973099994</v>
      </c>
      <c r="H77">
        <f t="shared" ca="1" si="0"/>
        <v>1</v>
      </c>
      <c r="I77">
        <f t="shared" ca="1" si="1"/>
        <v>1</v>
      </c>
      <c r="J77">
        <f t="shared" ca="1" si="2"/>
        <v>1</v>
      </c>
      <c r="K77" s="43">
        <v>3.2076501846299998</v>
      </c>
      <c r="L77">
        <v>3.2653331756599999</v>
      </c>
      <c r="N77" s="47" t="str">
        <f t="shared" ca="1" si="3"/>
        <v>BD</v>
      </c>
      <c r="O77" s="43"/>
      <c r="AA77" s="47" t="str">
        <f t="shared" ca="1" si="4"/>
        <v>A</v>
      </c>
    </row>
    <row r="78" spans="3:27" x14ac:dyDescent="0.25">
      <c r="C78">
        <v>27</v>
      </c>
      <c r="D78" s="38">
        <f t="shared" si="7"/>
        <v>15</v>
      </c>
      <c r="F78" s="18">
        <f t="array" aca="1" ref="F78" ca="1">INDIRECT(ADDRESS(D78,MATCH("Die "&amp;C78,INDIRECT("A"&amp;D78+1&amp;":J"&amp;D78+1,TRUE),4),TRUE))</f>
        <v>72.710823059099994</v>
      </c>
      <c r="G78" s="18">
        <f t="array" aca="1" ref="G78" ca="1">INDIRECT(ADDRESS(D78+2,MATCH("Die "&amp;C78,INDIRECT("A"&amp;D78+1&amp;":J"&amp;D78+1,TRUE),4),TRUE))</f>
        <v>10.601925849900001</v>
      </c>
      <c r="H78">
        <f t="shared" ca="1" si="0"/>
        <v>1</v>
      </c>
      <c r="I78">
        <f t="shared" ca="1" si="1"/>
        <v>0</v>
      </c>
      <c r="J78">
        <f t="shared" ca="1" si="2"/>
        <v>0</v>
      </c>
      <c r="K78" s="43">
        <v>3.2091355323799999</v>
      </c>
      <c r="L78">
        <v>3.2914853096000001</v>
      </c>
      <c r="N78" s="47" t="str">
        <f t="shared" ca="1" si="3"/>
        <v>UD</v>
      </c>
      <c r="O78" s="43"/>
      <c r="AA78" s="47" t="str">
        <f t="shared" ca="1" si="4"/>
        <v>B</v>
      </c>
    </row>
    <row r="79" spans="3:27" x14ac:dyDescent="0.25">
      <c r="C79">
        <v>28</v>
      </c>
      <c r="D79" s="38">
        <f t="shared" si="7"/>
        <v>15</v>
      </c>
      <c r="F79" s="18">
        <f t="array" aca="1" ref="F79" ca="1">INDIRECT(ADDRESS(D79,MATCH("Die "&amp;C79,INDIRECT("A"&amp;D79+1&amp;":J"&amp;D79+1,TRUE),4),TRUE))</f>
        <v>71.305679321300005</v>
      </c>
      <c r="G79" s="18">
        <f t="array" aca="1" ref="G79" ca="1">INDIRECT(ADDRESS(D79+2,MATCH("Die "&amp;C79,INDIRECT("A"&amp;D79+1&amp;":J"&amp;D79+1,TRUE),4),TRUE))</f>
        <v>67.922447204600005</v>
      </c>
      <c r="H79">
        <f t="shared" ca="1" si="0"/>
        <v>1</v>
      </c>
      <c r="I79">
        <f t="shared" ca="1" si="1"/>
        <v>1</v>
      </c>
      <c r="J79">
        <f t="shared" ca="1" si="2"/>
        <v>1</v>
      </c>
      <c r="K79" s="43">
        <v>3.2410144805900001</v>
      </c>
      <c r="L79">
        <v>3.3297657966599998</v>
      </c>
      <c r="N79" s="47" t="str">
        <f t="shared" ca="1" si="3"/>
        <v>BD</v>
      </c>
      <c r="O79" s="43"/>
      <c r="AA79" s="47" t="str">
        <f t="shared" ca="1" si="4"/>
        <v>A</v>
      </c>
    </row>
    <row r="80" spans="3:27" x14ac:dyDescent="0.25">
      <c r="C80">
        <v>29</v>
      </c>
      <c r="D80" s="38">
        <f t="shared" si="7"/>
        <v>15</v>
      </c>
      <c r="F80" s="18">
        <f t="array" aca="1" ref="F80" ca="1">INDIRECT(ADDRESS(D80,MATCH("Die "&amp;C80,INDIRECT("A"&amp;D80+1&amp;":J"&amp;D80+1,TRUE),4),TRUE))</f>
        <v>70.083145141599999</v>
      </c>
      <c r="G80" s="18">
        <f t="array" aca="1" ref="G80" ca="1">INDIRECT(ADDRESS(D80+2,MATCH("Die "&amp;C80,INDIRECT("A"&amp;D80+1&amp;":J"&amp;D80+1,TRUE),4),TRUE))</f>
        <v>65.170623779300001</v>
      </c>
      <c r="H80">
        <f t="shared" ca="1" si="0"/>
        <v>1</v>
      </c>
      <c r="I80">
        <f t="shared" ca="1" si="1"/>
        <v>1</v>
      </c>
      <c r="J80">
        <f t="shared" ca="1" si="2"/>
        <v>1</v>
      </c>
      <c r="K80" s="43">
        <v>3.26853990555</v>
      </c>
      <c r="L80">
        <v>3.3319330215499998</v>
      </c>
      <c r="N80" s="47" t="str">
        <f t="shared" ca="1" si="3"/>
        <v>BD</v>
      </c>
      <c r="O80" s="43"/>
      <c r="AA80" s="47" t="str">
        <f t="shared" ca="1" si="4"/>
        <v>A</v>
      </c>
    </row>
    <row r="81" spans="3:27" x14ac:dyDescent="0.25">
      <c r="C81">
        <v>30</v>
      </c>
      <c r="D81" s="38">
        <f t="shared" si="7"/>
        <v>15</v>
      </c>
      <c r="F81" s="18">
        <f t="array" aca="1" ref="F81" ca="1">INDIRECT(ADDRESS(D81,MATCH("Die "&amp;C81,INDIRECT("A"&amp;D81+1&amp;":J"&amp;D81+1,TRUE),4),TRUE))</f>
        <v>21.9163894653</v>
      </c>
      <c r="G81" s="18">
        <f t="array" aca="1" ref="G81" ca="1">INDIRECT(ADDRESS(D81+2,MATCH("Die "&amp;C81,INDIRECT("A"&amp;D81+1&amp;":J"&amp;D81+1,TRUE),4),TRUE))</f>
        <v>68.073966979999994</v>
      </c>
      <c r="H81">
        <f t="shared" ca="1" si="0"/>
        <v>0</v>
      </c>
      <c r="I81">
        <f t="shared" ca="1" si="1"/>
        <v>1</v>
      </c>
      <c r="J81">
        <f t="shared" ca="1" si="2"/>
        <v>0</v>
      </c>
      <c r="K81" s="43">
        <v>3.30355405807</v>
      </c>
      <c r="L81">
        <v>3.34341526031</v>
      </c>
      <c r="N81" s="47" t="str">
        <f t="shared" ca="1" si="3"/>
        <v>UD</v>
      </c>
      <c r="O81" s="43"/>
      <c r="AA81" s="47" t="str">
        <f t="shared" ca="1" si="4"/>
        <v>B</v>
      </c>
    </row>
    <row r="82" spans="3:27" x14ac:dyDescent="0.25">
      <c r="C82">
        <v>31</v>
      </c>
      <c r="D82" s="38">
        <f t="shared" si="7"/>
        <v>15</v>
      </c>
      <c r="F82" s="18">
        <f t="array" aca="1" ref="F82" ca="1">INDIRECT(ADDRESS(D82,MATCH("Die "&amp;C82,INDIRECT("A"&amp;D82+1&amp;":J"&amp;D82+1,TRUE),4),TRUE))</f>
        <v>72.204612731899999</v>
      </c>
      <c r="G82" s="18">
        <f t="array" aca="1" ref="G82" ca="1">INDIRECT(ADDRESS(D82+2,MATCH("Die "&amp;C82,INDIRECT("A"&amp;D82+1&amp;":J"&amp;D82+1,TRUE),4),TRUE))</f>
        <v>69.593475341800001</v>
      </c>
      <c r="H82">
        <f t="shared" ca="1" si="0"/>
        <v>1</v>
      </c>
      <c r="I82">
        <f t="shared" ca="1" si="1"/>
        <v>1</v>
      </c>
      <c r="J82">
        <f t="shared" ca="1" si="2"/>
        <v>1</v>
      </c>
      <c r="K82" s="43">
        <v>3.3144187927200002</v>
      </c>
      <c r="L82">
        <v>3.3777022361800002</v>
      </c>
      <c r="N82" s="47" t="str">
        <f t="shared" ca="1" si="3"/>
        <v>BD</v>
      </c>
      <c r="O82" s="43"/>
      <c r="AA82" s="47" t="str">
        <f t="shared" ca="1" si="4"/>
        <v>A</v>
      </c>
    </row>
    <row r="83" spans="3:27" x14ac:dyDescent="0.25">
      <c r="C83">
        <v>32</v>
      </c>
      <c r="D83" s="38">
        <f t="shared" si="7"/>
        <v>15</v>
      </c>
      <c r="F83" s="18">
        <f t="array" aca="1" ref="F83" ca="1">INDIRECT(ADDRESS(D83,MATCH("Die "&amp;C83,INDIRECT("A"&amp;D83+1&amp;":J"&amp;D83+1,TRUE),4),TRUE))</f>
        <v>5.7795763015699997</v>
      </c>
      <c r="G83" s="18">
        <f t="array" aca="1" ref="G83" ca="1">INDIRECT(ADDRESS(D83+2,MATCH("Die "&amp;C83,INDIRECT("A"&amp;D83+1&amp;":J"&amp;D83+1,TRUE),4),TRUE))</f>
        <v>71.687248229999994</v>
      </c>
      <c r="H83">
        <f t="shared" ca="1" si="0"/>
        <v>0</v>
      </c>
      <c r="I83">
        <f t="shared" ca="1" si="1"/>
        <v>1</v>
      </c>
      <c r="J83">
        <f t="shared" ca="1" si="2"/>
        <v>0</v>
      </c>
      <c r="K83" s="43">
        <v>3.2870626449599998</v>
      </c>
      <c r="L83">
        <v>3.4272027015700002</v>
      </c>
      <c r="N83" s="47" t="str">
        <f t="shared" ca="1" si="3"/>
        <v>UD</v>
      </c>
      <c r="O83" s="43"/>
      <c r="AA83" s="47" t="str">
        <f t="shared" ca="1" si="4"/>
        <v>B</v>
      </c>
    </row>
    <row r="84" spans="3:27" x14ac:dyDescent="0.25">
      <c r="C84">
        <v>33</v>
      </c>
      <c r="D84" s="38">
        <f t="shared" si="7"/>
        <v>15</v>
      </c>
      <c r="F84" s="18">
        <f t="array" aca="1" ref="F84" ca="1">INDIRECT(ADDRESS(D84,MATCH("Die "&amp;C84,INDIRECT("A"&amp;D84+1&amp;":J"&amp;D84+1,TRUE),4),TRUE))</f>
        <v>73.703643798800002</v>
      </c>
      <c r="G84" s="18">
        <f t="array" aca="1" ref="G84" ca="1">INDIRECT(ADDRESS(D84+2,MATCH("Die "&amp;C84,INDIRECT("A"&amp;D84+1&amp;":J"&amp;D84+1,TRUE),4),TRUE))</f>
        <v>73.218894958500002</v>
      </c>
      <c r="H84">
        <f t="shared" ref="H84:H115" ca="1" si="8">IF(AND(ISNUMBER(F84),F84 &gt;=$B$48,F84&lt;$E$48),1,0)</f>
        <v>1</v>
      </c>
      <c r="I84">
        <f t="shared" ref="I84:I115" ca="1" si="9">IF(AND(ISNUMBER(G84),G84 &gt;= $B$48,G84&lt;$E$48),1,0)</f>
        <v>1</v>
      </c>
      <c r="J84">
        <f t="shared" ref="J84:J115" ca="1" si="10">IF(AND(H84 = 1, I84 = 1),1,0)</f>
        <v>1</v>
      </c>
      <c r="K84" s="43">
        <v>3.2274961471600001</v>
      </c>
      <c r="L84">
        <v>3.2960796356199999</v>
      </c>
      <c r="N84" s="47" t="str">
        <f t="shared" ref="N84:N115" ca="1" si="11">IF(OR(ISNUMBER(F84),ISNUMBER(G84)),IF(AND(ISNUMBER(F84),ISNUMBER(G84),F84&gt;=$B$48,G84&gt;=$B$48,F84&lt;$E$48,G84&lt;$E$48),"BD",IF(OR(F84&gt;=$B$48/2,G84&gt;=$B$48/2),"UD","")),"")</f>
        <v>BD</v>
      </c>
      <c r="O84" s="43"/>
      <c r="AA84" s="47" t="str">
        <f t="shared" ref="AA84:AA115" ca="1" si="12">IF(AND(N84="",COUNTIF($N$52:$N$139,"UD")=0),"",IF(N84="BD","A",IF(N84="UD","B","C")))</f>
        <v>A</v>
      </c>
    </row>
    <row r="85" spans="3:27" x14ac:dyDescent="0.25">
      <c r="C85" s="20">
        <v>34</v>
      </c>
      <c r="D85" s="44">
        <f t="shared" si="7"/>
        <v>15</v>
      </c>
      <c r="E85" s="20"/>
      <c r="F85" s="18">
        <f t="array" aca="1" ref="F85" ca="1">INDIRECT(ADDRESS(D85,MATCH("Die "&amp;C85,INDIRECT("A"&amp;D85+1&amp;":J"&amp;D85+1,TRUE),4),TRUE))</f>
        <v>68.4609375</v>
      </c>
      <c r="G85" s="18">
        <f t="array" aca="1" ref="G85" ca="1">INDIRECT(ADDRESS(D85+2,MATCH("Die "&amp;C85,INDIRECT("A"&amp;D85+1&amp;":J"&amp;D85+1,TRUE),4),TRUE))</f>
        <v>63.115165710399999</v>
      </c>
      <c r="H85">
        <f t="shared" ca="1" si="8"/>
        <v>1</v>
      </c>
      <c r="I85">
        <f t="shared" ca="1" si="9"/>
        <v>1</v>
      </c>
      <c r="J85">
        <f t="shared" ca="1" si="10"/>
        <v>1</v>
      </c>
      <c r="K85" s="43">
        <v>3.3031153678899998</v>
      </c>
      <c r="L85">
        <v>3.2971239090000002</v>
      </c>
      <c r="N85" s="47" t="str">
        <f t="shared" ca="1" si="11"/>
        <v>BD</v>
      </c>
      <c r="O85" s="43"/>
      <c r="AA85" s="47" t="str">
        <f t="shared" ca="1" si="12"/>
        <v>A</v>
      </c>
    </row>
    <row r="86" spans="3:27" x14ac:dyDescent="0.25">
      <c r="C86">
        <v>35</v>
      </c>
      <c r="D86" s="38">
        <v>18</v>
      </c>
      <c r="F86" s="18">
        <f t="array" aca="1" ref="F86" ca="1">INDIRECT(ADDRESS(D86,MATCH("Die "&amp;C86,INDIRECT("A"&amp;D86+1&amp;":J"&amp;D86+1,TRUE),4),TRUE))</f>
        <v>68.420196533199999</v>
      </c>
      <c r="G86" s="18">
        <f t="array" aca="1" ref="G86" ca="1">INDIRECT(ADDRESS(D86+2,MATCH("Die "&amp;C86,INDIRECT("A"&amp;D86+1&amp;":J"&amp;D86+1,TRUE),4),TRUE))</f>
        <v>14.7967100143</v>
      </c>
      <c r="H86">
        <f t="shared" ca="1" si="8"/>
        <v>1</v>
      </c>
      <c r="I86">
        <f t="shared" ca="1" si="9"/>
        <v>0</v>
      </c>
      <c r="J86">
        <f t="shared" ca="1" si="10"/>
        <v>0</v>
      </c>
      <c r="K86" s="43">
        <v>3.2870268821700002</v>
      </c>
      <c r="L86">
        <v>3.2582092285200002</v>
      </c>
      <c r="N86" s="47" t="str">
        <f t="shared" ca="1" si="11"/>
        <v>UD</v>
      </c>
      <c r="O86" s="43"/>
      <c r="AA86" s="47" t="str">
        <f t="shared" ca="1" si="12"/>
        <v>B</v>
      </c>
    </row>
    <row r="87" spans="3:27" x14ac:dyDescent="0.25">
      <c r="C87">
        <v>36</v>
      </c>
      <c r="D87" s="38">
        <f t="shared" ref="D87:D95" si="13">IF(D86=D85,D86,D85+3)</f>
        <v>18</v>
      </c>
      <c r="F87" s="18">
        <f t="array" aca="1" ref="F87" ca="1">INDIRECT(ADDRESS(D87,MATCH("Die "&amp;C87,INDIRECT("A"&amp;D87+1&amp;":J"&amp;D87+1,TRUE),4),TRUE))</f>
        <v>72.430633544900004</v>
      </c>
      <c r="G87" s="18">
        <f t="array" aca="1" ref="G87" ca="1">INDIRECT(ADDRESS(D87+2,MATCH("Die "&amp;C87,INDIRECT("A"&amp;D87+1&amp;":J"&amp;D87+1,TRUE),4),TRUE))</f>
        <v>72.055389404300001</v>
      </c>
      <c r="H87">
        <f t="shared" ca="1" si="8"/>
        <v>1</v>
      </c>
      <c r="I87">
        <f t="shared" ca="1" si="9"/>
        <v>1</v>
      </c>
      <c r="J87">
        <f t="shared" ca="1" si="10"/>
        <v>1</v>
      </c>
      <c r="K87" s="43">
        <v>3.2784175872799999</v>
      </c>
      <c r="L87">
        <v>3.3166456222499998</v>
      </c>
      <c r="N87" s="47" t="str">
        <f t="shared" ca="1" si="11"/>
        <v>BD</v>
      </c>
      <c r="O87" s="43"/>
      <c r="AA87" s="47" t="str">
        <f t="shared" ca="1" si="12"/>
        <v>A</v>
      </c>
    </row>
    <row r="88" spans="3:27" x14ac:dyDescent="0.25">
      <c r="C88">
        <v>37</v>
      </c>
      <c r="D88" s="38">
        <f t="shared" si="13"/>
        <v>18</v>
      </c>
      <c r="F88" s="18">
        <f t="array" aca="1" ref="F88" ca="1">INDIRECT(ADDRESS(D88,MATCH("Die "&amp;C88,INDIRECT("A"&amp;D88+1&amp;":J"&amp;D88+1,TRUE),4),TRUE))</f>
        <v>71.8749542236</v>
      </c>
      <c r="G88" s="18">
        <f t="array" aca="1" ref="G88" ca="1">INDIRECT(ADDRESS(D88+2,MATCH("Die "&amp;C88,INDIRECT("A"&amp;D88+1&amp;":J"&amp;D88+1,TRUE),4),TRUE))</f>
        <v>70.164230346699995</v>
      </c>
      <c r="H88">
        <f t="shared" ca="1" si="8"/>
        <v>1</v>
      </c>
      <c r="I88">
        <f t="shared" ca="1" si="9"/>
        <v>1</v>
      </c>
      <c r="J88">
        <f t="shared" ca="1" si="10"/>
        <v>1</v>
      </c>
      <c r="K88" s="43">
        <v>3.3049941062900001</v>
      </c>
      <c r="L88">
        <v>3.3772206306500001</v>
      </c>
      <c r="N88" s="47" t="str">
        <f t="shared" ca="1" si="11"/>
        <v>BD</v>
      </c>
      <c r="O88" s="43"/>
      <c r="AA88" s="47" t="str">
        <f t="shared" ca="1" si="12"/>
        <v>A</v>
      </c>
    </row>
    <row r="89" spans="3:27" x14ac:dyDescent="0.25">
      <c r="C89">
        <v>38</v>
      </c>
      <c r="D89" s="38">
        <f t="shared" si="13"/>
        <v>18</v>
      </c>
      <c r="F89" s="18">
        <f t="array" aca="1" ref="F89" ca="1">INDIRECT(ADDRESS(D89,MATCH("Die "&amp;C89,INDIRECT("A"&amp;D89+1&amp;":J"&amp;D89+1,TRUE),4),TRUE))</f>
        <v>43.893146514900003</v>
      </c>
      <c r="G89" s="18">
        <f t="array" aca="1" ref="G89" ca="1">INDIRECT(ADDRESS(D89+2,MATCH("Die "&amp;C89,INDIRECT("A"&amp;D89+1&amp;":J"&amp;D89+1,TRUE),4),TRUE))</f>
        <v>68.349502563499996</v>
      </c>
      <c r="H89">
        <f t="shared" ca="1" si="8"/>
        <v>0</v>
      </c>
      <c r="I89">
        <f t="shared" ca="1" si="9"/>
        <v>1</v>
      </c>
      <c r="J89">
        <f t="shared" ca="1" si="10"/>
        <v>0</v>
      </c>
      <c r="K89" s="43">
        <v>3.3314704895</v>
      </c>
      <c r="L89">
        <v>3.3829140663100001</v>
      </c>
      <c r="N89" s="47" t="str">
        <f t="shared" ca="1" si="11"/>
        <v>UD</v>
      </c>
      <c r="O89" s="43"/>
      <c r="AA89" s="47" t="str">
        <f t="shared" ca="1" si="12"/>
        <v>B</v>
      </c>
    </row>
    <row r="90" spans="3:27" x14ac:dyDescent="0.25">
      <c r="C90">
        <v>39</v>
      </c>
      <c r="D90" s="38">
        <f t="shared" si="13"/>
        <v>18</v>
      </c>
      <c r="F90" s="18">
        <f t="array" aca="1" ref="F90" ca="1">INDIRECT(ADDRESS(D90,MATCH("Die "&amp;C90,INDIRECT("A"&amp;D90+1&amp;":J"&amp;D90+1,TRUE),4),TRUE))</f>
        <v>64.531829834000007</v>
      </c>
      <c r="G90" s="18">
        <f t="array" aca="1" ref="G90" ca="1">INDIRECT(ADDRESS(D90+2,MATCH("Die "&amp;C90,INDIRECT("A"&amp;D90+1&amp;":J"&amp;D90+1,TRUE),4),TRUE))</f>
        <v>27.935432434100001</v>
      </c>
      <c r="H90">
        <f t="shared" ca="1" si="8"/>
        <v>1</v>
      </c>
      <c r="I90">
        <f t="shared" ca="1" si="9"/>
        <v>0</v>
      </c>
      <c r="J90">
        <f t="shared" ca="1" si="10"/>
        <v>0</v>
      </c>
      <c r="K90" s="43">
        <v>3.3174967765800001</v>
      </c>
      <c r="L90">
        <v>3.37522029877</v>
      </c>
      <c r="N90" s="47" t="str">
        <f t="shared" ca="1" si="11"/>
        <v>UD</v>
      </c>
      <c r="O90" s="43"/>
      <c r="AA90" s="47" t="str">
        <f t="shared" ca="1" si="12"/>
        <v>B</v>
      </c>
    </row>
    <row r="91" spans="3:27" x14ac:dyDescent="0.25">
      <c r="C91">
        <v>40</v>
      </c>
      <c r="D91" s="38">
        <f t="shared" si="13"/>
        <v>18</v>
      </c>
      <c r="F91" s="18">
        <f t="array" aca="1" ref="F91" ca="1">INDIRECT(ADDRESS(D91,MATCH("Die "&amp;C91,INDIRECT("A"&amp;D91+1&amp;":J"&amp;D91+1,TRUE),4),TRUE))</f>
        <v>68.392417907699993</v>
      </c>
      <c r="G91" s="18">
        <f t="array" aca="1" ref="G91" ca="1">INDIRECT(ADDRESS(D91+2,MATCH("Die "&amp;C91,INDIRECT("A"&amp;D91+1&amp;":J"&amp;D91+1,TRUE),4),TRUE))</f>
        <v>24.842309951800001</v>
      </c>
      <c r="H91">
        <f t="shared" ca="1" si="8"/>
        <v>1</v>
      </c>
      <c r="I91">
        <f t="shared" ca="1" si="9"/>
        <v>0</v>
      </c>
      <c r="J91">
        <f t="shared" ca="1" si="10"/>
        <v>0</v>
      </c>
      <c r="K91" s="43">
        <v>3.27106237411</v>
      </c>
      <c r="L91">
        <v>3.3310079574599998</v>
      </c>
      <c r="N91" s="47" t="str">
        <f t="shared" ca="1" si="11"/>
        <v>UD</v>
      </c>
      <c r="O91" s="43"/>
      <c r="AA91" s="47" t="str">
        <f t="shared" ca="1" si="12"/>
        <v>B</v>
      </c>
    </row>
    <row r="92" spans="3:27" x14ac:dyDescent="0.25">
      <c r="C92">
        <v>41</v>
      </c>
      <c r="D92" s="38">
        <f t="shared" si="13"/>
        <v>18</v>
      </c>
      <c r="F92" s="18">
        <f t="array" aca="1" ref="F92" ca="1">INDIRECT(ADDRESS(D92,MATCH("Die "&amp;C92,INDIRECT("A"&amp;D92+1&amp;":J"&amp;D92+1,TRUE),4),TRUE))</f>
        <v>70.216438293500005</v>
      </c>
      <c r="G92" s="18">
        <f t="array" aca="1" ref="G92" ca="1">INDIRECT(ADDRESS(D92+2,MATCH("Die "&amp;C92,INDIRECT("A"&amp;D92+1&amp;":J"&amp;D92+1,TRUE),4),TRUE))</f>
        <v>57.103061676000003</v>
      </c>
      <c r="H92">
        <f t="shared" ca="1" si="8"/>
        <v>1</v>
      </c>
      <c r="I92">
        <f t="shared" ca="1" si="9"/>
        <v>1</v>
      </c>
      <c r="J92">
        <f t="shared" ca="1" si="10"/>
        <v>1</v>
      </c>
      <c r="K92" s="43">
        <v>3.2339143753099999</v>
      </c>
      <c r="L92">
        <v>3.3197116851800001</v>
      </c>
      <c r="N92" s="47" t="str">
        <f t="shared" ca="1" si="11"/>
        <v>BD</v>
      </c>
      <c r="O92" s="43"/>
      <c r="AA92" s="47" t="str">
        <f t="shared" ca="1" si="12"/>
        <v>A</v>
      </c>
    </row>
    <row r="93" spans="3:27" x14ac:dyDescent="0.25">
      <c r="C93">
        <v>42</v>
      </c>
      <c r="D93" s="38">
        <f t="shared" si="13"/>
        <v>18</v>
      </c>
      <c r="F93" s="18">
        <f t="array" aca="1" ref="F93" ca="1">INDIRECT(ADDRESS(D93,MATCH("Die "&amp;C93,INDIRECT("A"&amp;D93+1&amp;":J"&amp;D93+1,TRUE),4),TRUE))</f>
        <v>71.603919982899995</v>
      </c>
      <c r="G93" s="18">
        <f t="array" aca="1" ref="G93" ca="1">INDIRECT(ADDRESS(D93+2,MATCH("Die "&amp;C93,INDIRECT("A"&amp;D93+1&amp;":J"&amp;D93+1,TRUE),4),TRUE))</f>
        <v>67.753791809099994</v>
      </c>
      <c r="H93">
        <f t="shared" ca="1" si="8"/>
        <v>1</v>
      </c>
      <c r="I93">
        <f t="shared" ca="1" si="9"/>
        <v>1</v>
      </c>
      <c r="J93">
        <f t="shared" ca="1" si="10"/>
        <v>1</v>
      </c>
      <c r="K93" s="43">
        <v>3.1985592842099999</v>
      </c>
      <c r="L93">
        <v>3.2981753349299998</v>
      </c>
      <c r="N93" s="47" t="str">
        <f t="shared" ca="1" si="11"/>
        <v>BD</v>
      </c>
      <c r="O93" s="43"/>
      <c r="AA93" s="47" t="str">
        <f t="shared" ca="1" si="12"/>
        <v>A</v>
      </c>
    </row>
    <row r="94" spans="3:27" x14ac:dyDescent="0.25">
      <c r="C94">
        <v>43</v>
      </c>
      <c r="D94" s="38">
        <f t="shared" si="13"/>
        <v>18</v>
      </c>
      <c r="F94" s="18">
        <f t="array" aca="1" ref="F94" ca="1">INDIRECT(ADDRESS(D94,MATCH("Die "&amp;C94,INDIRECT("A"&amp;D94+1&amp;":J"&amp;D94+1,TRUE),4),TRUE))</f>
        <v>0.60665607452400006</v>
      </c>
      <c r="G94" s="18">
        <f t="array" aca="1" ref="G94" ca="1">INDIRECT(ADDRESS(D94+2,MATCH("Die "&amp;C94,INDIRECT("A"&amp;D94+1&amp;":J"&amp;D94+1,TRUE),4),TRUE))</f>
        <v>67.826080322300001</v>
      </c>
      <c r="H94">
        <f t="shared" ca="1" si="8"/>
        <v>0</v>
      </c>
      <c r="I94">
        <f t="shared" ca="1" si="9"/>
        <v>1</v>
      </c>
      <c r="J94">
        <f t="shared" ca="1" si="10"/>
        <v>0</v>
      </c>
      <c r="K94" s="43">
        <v>2.9254841804499998</v>
      </c>
      <c r="L94">
        <v>3.45949649811</v>
      </c>
      <c r="N94" s="47" t="str">
        <f t="shared" ca="1" si="11"/>
        <v>UD</v>
      </c>
      <c r="O94" s="43"/>
      <c r="AA94" s="47" t="str">
        <f t="shared" ca="1" si="12"/>
        <v>B</v>
      </c>
    </row>
    <row r="95" spans="3:27" x14ac:dyDescent="0.25">
      <c r="C95" s="20">
        <v>44</v>
      </c>
      <c r="D95" s="44">
        <f t="shared" si="13"/>
        <v>18</v>
      </c>
      <c r="E95" s="20"/>
      <c r="F95" s="18">
        <f t="array" aca="1" ref="F95" ca="1">INDIRECT(ADDRESS(D95,MATCH("Die "&amp;C95,INDIRECT("A"&amp;D95+1&amp;":J"&amp;D95+1,TRUE),4),TRUE))</f>
        <v>69.061683654800007</v>
      </c>
      <c r="G95" s="18">
        <f t="array" aca="1" ref="G95" ca="1">INDIRECT(ADDRESS(D95+2,MATCH("Die "&amp;C95,INDIRECT("A"&amp;D95+1&amp;":J"&amp;D95+1,TRUE),4),TRUE))</f>
        <v>64.554237365700004</v>
      </c>
      <c r="H95">
        <f t="shared" ca="1" si="8"/>
        <v>1</v>
      </c>
      <c r="I95">
        <f t="shared" ca="1" si="9"/>
        <v>1</v>
      </c>
      <c r="J95">
        <f t="shared" ca="1" si="10"/>
        <v>1</v>
      </c>
      <c r="K95" s="43">
        <v>3.1722044944799999</v>
      </c>
      <c r="L95">
        <v>3.3339548110999999</v>
      </c>
      <c r="N95" s="47" t="str">
        <f t="shared" ca="1" si="11"/>
        <v>BD</v>
      </c>
      <c r="O95" s="43"/>
      <c r="AA95" s="47" t="str">
        <f t="shared" ca="1" si="12"/>
        <v>A</v>
      </c>
    </row>
    <row r="96" spans="3:27" x14ac:dyDescent="0.25">
      <c r="C96">
        <v>45</v>
      </c>
      <c r="D96" s="38">
        <v>21</v>
      </c>
      <c r="F96" s="18">
        <f t="array" aca="1" ref="F96" ca="1">INDIRECT(ADDRESS(D96,MATCH("Die "&amp;C96,INDIRECT("A"&amp;D96+1&amp;":J"&amp;D96+1,TRUE),4),TRUE))</f>
        <v>69.700477600100001</v>
      </c>
      <c r="G96" s="18">
        <f t="array" aca="1" ref="G96" ca="1">INDIRECT(ADDRESS(D96+2,MATCH("Die "&amp;C96,INDIRECT("A"&amp;D96+1&amp;":J"&amp;D96+1,TRUE),4),TRUE))</f>
        <v>65.514083862299998</v>
      </c>
      <c r="H96">
        <f t="shared" ca="1" si="8"/>
        <v>1</v>
      </c>
      <c r="I96">
        <f t="shared" ca="1" si="9"/>
        <v>1</v>
      </c>
      <c r="J96">
        <f t="shared" ca="1" si="10"/>
        <v>1</v>
      </c>
      <c r="K96" s="43">
        <v>3.1751585006699998</v>
      </c>
      <c r="L96">
        <v>3.3307933807399999</v>
      </c>
      <c r="N96" s="47" t="str">
        <f t="shared" ca="1" si="11"/>
        <v>BD</v>
      </c>
      <c r="O96" s="43"/>
      <c r="AA96" s="47" t="str">
        <f t="shared" ca="1" si="12"/>
        <v>A</v>
      </c>
    </row>
    <row r="97" spans="3:27" x14ac:dyDescent="0.25">
      <c r="C97">
        <v>46</v>
      </c>
      <c r="D97" s="38">
        <f t="shared" ref="D97:D105" si="14">IF(D96=D95,D96,D95+3)</f>
        <v>21</v>
      </c>
      <c r="F97" s="18">
        <f t="array" aca="1" ref="F97" ca="1">INDIRECT(ADDRESS(D97,MATCH("Die "&amp;C97,INDIRECT("A"&amp;D97+1&amp;":J"&amp;D97+1,TRUE),4),TRUE))</f>
        <v>72.324943542499994</v>
      </c>
      <c r="G97" s="18">
        <f t="array" aca="1" ref="G97" ca="1">INDIRECT(ADDRESS(D97+2,MATCH("Die "&amp;C97,INDIRECT("A"&amp;D97+1&amp;":J"&amp;D97+1,TRUE),4),TRUE))</f>
        <v>68.956329345699999</v>
      </c>
      <c r="H97">
        <f t="shared" ca="1" si="8"/>
        <v>1</v>
      </c>
      <c r="I97">
        <f t="shared" ca="1" si="9"/>
        <v>1</v>
      </c>
      <c r="J97">
        <f t="shared" ca="1" si="10"/>
        <v>1</v>
      </c>
      <c r="K97" s="43">
        <v>3.1877708435100001</v>
      </c>
      <c r="L97">
        <v>3.2686853408799998</v>
      </c>
      <c r="N97" s="47" t="str">
        <f t="shared" ca="1" si="11"/>
        <v>BD</v>
      </c>
      <c r="O97" s="43"/>
      <c r="AA97" s="47" t="str">
        <f t="shared" ca="1" si="12"/>
        <v>A</v>
      </c>
    </row>
    <row r="98" spans="3:27" x14ac:dyDescent="0.25">
      <c r="C98">
        <v>47</v>
      </c>
      <c r="D98" s="38">
        <f t="shared" si="14"/>
        <v>21</v>
      </c>
      <c r="F98" s="18">
        <f t="array" aca="1" ref="F98" ca="1">INDIRECT(ADDRESS(D98,MATCH("Die "&amp;C98,INDIRECT("A"&amp;D98+1&amp;":J"&amp;D98+1,TRUE),4),TRUE))</f>
        <v>0.64444541931199995</v>
      </c>
      <c r="G98" s="18">
        <f t="array" aca="1" ref="G98" ca="1">INDIRECT(ADDRESS(D98+2,MATCH("Die "&amp;C98,INDIRECT("A"&amp;D98+1&amp;":J"&amp;D98+1,TRUE),4),TRUE))</f>
        <v>69.186424255399999</v>
      </c>
      <c r="H98">
        <f t="shared" ca="1" si="8"/>
        <v>0</v>
      </c>
      <c r="I98">
        <f t="shared" ca="1" si="9"/>
        <v>1</v>
      </c>
      <c r="J98">
        <f t="shared" ca="1" si="10"/>
        <v>0</v>
      </c>
      <c r="K98" s="43">
        <v>2.8932332992599998</v>
      </c>
      <c r="L98">
        <v>3.44612598419</v>
      </c>
      <c r="N98" s="47" t="str">
        <f t="shared" ca="1" si="11"/>
        <v>UD</v>
      </c>
      <c r="O98" s="43"/>
      <c r="AA98" s="47" t="str">
        <f t="shared" ca="1" si="12"/>
        <v>B</v>
      </c>
    </row>
    <row r="99" spans="3:27" x14ac:dyDescent="0.25">
      <c r="C99">
        <v>48</v>
      </c>
      <c r="D99" s="38">
        <f t="shared" si="14"/>
        <v>21</v>
      </c>
      <c r="F99" s="18">
        <f t="array" aca="1" ref="F99" ca="1">INDIRECT(ADDRESS(D99,MATCH("Die "&amp;C99,INDIRECT("A"&amp;D99+1&amp;":J"&amp;D99+1,TRUE),4),TRUE))</f>
        <v>69.479393005399999</v>
      </c>
      <c r="G99" s="18">
        <f t="array" aca="1" ref="G99" ca="1">INDIRECT(ADDRESS(D99+2,MATCH("Die "&amp;C99,INDIRECT("A"&amp;D99+1&amp;":J"&amp;D99+1,TRUE),4),TRUE))</f>
        <v>68.313644409199995</v>
      </c>
      <c r="H99">
        <f t="shared" ca="1" si="8"/>
        <v>1</v>
      </c>
      <c r="I99">
        <f t="shared" ca="1" si="9"/>
        <v>1</v>
      </c>
      <c r="J99">
        <f t="shared" ca="1" si="10"/>
        <v>1</v>
      </c>
      <c r="K99" s="43">
        <v>3.2170343399000001</v>
      </c>
      <c r="L99">
        <v>3.3107209205600001</v>
      </c>
      <c r="N99" s="47" t="str">
        <f t="shared" ca="1" si="11"/>
        <v>BD</v>
      </c>
      <c r="O99" s="43"/>
      <c r="AA99" s="47" t="str">
        <f t="shared" ca="1" si="12"/>
        <v>A</v>
      </c>
    </row>
    <row r="100" spans="3:27" x14ac:dyDescent="0.25">
      <c r="C100">
        <v>49</v>
      </c>
      <c r="D100" s="38">
        <f t="shared" si="14"/>
        <v>21</v>
      </c>
      <c r="F100" s="18">
        <f t="array" aca="1" ref="F100" ca="1">INDIRECT(ADDRESS(D100,MATCH("Die "&amp;C100,INDIRECT("A"&amp;D100+1&amp;":J"&amp;D100+1,TRUE),4),TRUE))</f>
        <v>68.096183776900006</v>
      </c>
      <c r="G100" s="18">
        <f t="array" aca="1" ref="G100" ca="1">INDIRECT(ADDRESS(D100+2,MATCH("Die "&amp;C100,INDIRECT("A"&amp;D100+1&amp;":J"&amp;D100+1,TRUE),4),TRUE))</f>
        <v>57.0247650146</v>
      </c>
      <c r="H100">
        <f t="shared" ca="1" si="8"/>
        <v>1</v>
      </c>
      <c r="I100">
        <f t="shared" ca="1" si="9"/>
        <v>1</v>
      </c>
      <c r="J100">
        <f t="shared" ca="1" si="10"/>
        <v>1</v>
      </c>
      <c r="K100" s="43">
        <v>3.2634329795800001</v>
      </c>
      <c r="L100">
        <v>3.31679821014</v>
      </c>
      <c r="N100" s="47" t="str">
        <f t="shared" ca="1" si="11"/>
        <v>BD</v>
      </c>
      <c r="O100" s="43"/>
      <c r="AA100" s="47" t="str">
        <f t="shared" ca="1" si="12"/>
        <v>A</v>
      </c>
    </row>
    <row r="101" spans="3:27" x14ac:dyDescent="0.25">
      <c r="C101">
        <v>50</v>
      </c>
      <c r="D101" s="38">
        <f t="shared" si="14"/>
        <v>21</v>
      </c>
      <c r="F101" s="18">
        <f t="array" aca="1" ref="F101" ca="1">INDIRECT(ADDRESS(D101,MATCH("Die "&amp;C101,INDIRECT("A"&amp;D101+1&amp;":J"&amp;D101+1,TRUE),4),TRUE))</f>
        <v>1.68313980103</v>
      </c>
      <c r="G101" s="18">
        <f t="array" aca="1" ref="G101" ca="1">INDIRECT(ADDRESS(D101+2,MATCH("Die "&amp;C101,INDIRECT("A"&amp;D101+1&amp;":J"&amp;D101+1,TRUE),4),TRUE))</f>
        <v>66.929862976099997</v>
      </c>
      <c r="H101">
        <f t="shared" ca="1" si="8"/>
        <v>0</v>
      </c>
      <c r="I101">
        <f t="shared" ca="1" si="9"/>
        <v>1</v>
      </c>
      <c r="J101">
        <f t="shared" ca="1" si="10"/>
        <v>0</v>
      </c>
      <c r="K101" s="43">
        <v>3.1552577018700001</v>
      </c>
      <c r="L101">
        <v>3.4037899971000001</v>
      </c>
      <c r="N101" s="47" t="str">
        <f t="shared" ca="1" si="11"/>
        <v>UD</v>
      </c>
      <c r="O101" s="43"/>
      <c r="AA101" s="47" t="str">
        <f t="shared" ca="1" si="12"/>
        <v>B</v>
      </c>
    </row>
    <row r="102" spans="3:27" x14ac:dyDescent="0.25">
      <c r="C102">
        <v>51</v>
      </c>
      <c r="D102" s="38">
        <f t="shared" si="14"/>
        <v>21</v>
      </c>
      <c r="F102" s="18">
        <f t="array" aca="1" ref="F102" ca="1">INDIRECT(ADDRESS(D102,MATCH("Die "&amp;C102,INDIRECT("A"&amp;D102+1&amp;":J"&amp;D102+1,TRUE),4),TRUE))</f>
        <v>70.525146484399997</v>
      </c>
      <c r="G102" s="18">
        <f t="array" aca="1" ref="G102" ca="1">INDIRECT(ADDRESS(D102+2,MATCH("Die "&amp;C102,INDIRECT("A"&amp;D102+1&amp;":J"&amp;D102+1,TRUE),4),TRUE))</f>
        <v>68.275329589799995</v>
      </c>
      <c r="H102">
        <f t="shared" ca="1" si="8"/>
        <v>1</v>
      </c>
      <c r="I102">
        <f t="shared" ca="1" si="9"/>
        <v>1</v>
      </c>
      <c r="J102">
        <f t="shared" ca="1" si="10"/>
        <v>1</v>
      </c>
      <c r="K102" s="43">
        <v>3.3345675468399998</v>
      </c>
      <c r="L102">
        <v>3.3861446380600002</v>
      </c>
      <c r="N102" s="47" t="str">
        <f t="shared" ca="1" si="11"/>
        <v>BD</v>
      </c>
      <c r="O102" s="43"/>
      <c r="AA102" s="47" t="str">
        <f t="shared" ca="1" si="12"/>
        <v>A</v>
      </c>
    </row>
    <row r="103" spans="3:27" x14ac:dyDescent="0.25">
      <c r="C103">
        <v>52</v>
      </c>
      <c r="D103" s="38">
        <f t="shared" si="14"/>
        <v>21</v>
      </c>
      <c r="F103" s="18">
        <f t="array" aca="1" ref="F103" ca="1">INDIRECT(ADDRESS(D103,MATCH("Die "&amp;C103,INDIRECT("A"&amp;D103+1&amp;":J"&amp;D103+1,TRUE),4),TRUE))</f>
        <v>71.432044982899995</v>
      </c>
      <c r="G103" s="18">
        <f t="array" aca="1" ref="G103" ca="1">INDIRECT(ADDRESS(D103+2,MATCH("Die "&amp;C103,INDIRECT("A"&amp;D103+1&amp;":J"&amp;D103+1,TRUE),4),TRUE))</f>
        <v>2.05080509186</v>
      </c>
      <c r="H103">
        <f t="shared" ca="1" si="8"/>
        <v>1</v>
      </c>
      <c r="I103">
        <f t="shared" ca="1" si="9"/>
        <v>0</v>
      </c>
      <c r="J103">
        <f t="shared" ca="1" si="10"/>
        <v>0</v>
      </c>
      <c r="K103" s="43">
        <v>3.4628319740300002</v>
      </c>
      <c r="L103">
        <v>3.1726598739599998</v>
      </c>
      <c r="N103" s="47" t="str">
        <f t="shared" ca="1" si="11"/>
        <v>UD</v>
      </c>
      <c r="O103" s="43"/>
      <c r="AA103" s="47" t="str">
        <f t="shared" ca="1" si="12"/>
        <v>B</v>
      </c>
    </row>
    <row r="104" spans="3:27" x14ac:dyDescent="0.25">
      <c r="C104">
        <v>53</v>
      </c>
      <c r="D104" s="38">
        <f t="shared" si="14"/>
        <v>21</v>
      </c>
      <c r="F104" s="18">
        <f t="array" aca="1" ref="F104" ca="1">INDIRECT(ADDRESS(D104,MATCH("Die "&amp;C104,INDIRECT("A"&amp;D104+1&amp;":J"&amp;D104+1,TRUE),4),TRUE))</f>
        <v>0.105690956116</v>
      </c>
      <c r="G104" s="18">
        <f t="array" aca="1" ref="G104" ca="1">INDIRECT(ADDRESS(D104+2,MATCH("Die "&amp;C104,INDIRECT("A"&amp;D104+1&amp;":J"&amp;D104+1,TRUE),4),TRUE))</f>
        <v>72.3003616333</v>
      </c>
      <c r="H104">
        <f t="shared" ca="1" si="8"/>
        <v>0</v>
      </c>
      <c r="I104">
        <f t="shared" ca="1" si="9"/>
        <v>1</v>
      </c>
      <c r="J104">
        <f t="shared" ca="1" si="10"/>
        <v>0</v>
      </c>
      <c r="K104" s="43">
        <v>2.6906824111900001</v>
      </c>
      <c r="L104">
        <v>3.5367679595900001</v>
      </c>
      <c r="N104" s="47" t="str">
        <f t="shared" ca="1" si="11"/>
        <v>UD</v>
      </c>
      <c r="O104" s="43"/>
      <c r="AA104" s="47" t="str">
        <f t="shared" ca="1" si="12"/>
        <v>B</v>
      </c>
    </row>
    <row r="105" spans="3:27" x14ac:dyDescent="0.25">
      <c r="C105" s="20">
        <v>54</v>
      </c>
      <c r="D105" s="44">
        <f t="shared" si="14"/>
        <v>21</v>
      </c>
      <c r="E105" s="20"/>
      <c r="F105" s="18">
        <f t="array" aca="1" ref="F105" ca="1">INDIRECT(ADDRESS(D105,MATCH("Die "&amp;C105,INDIRECT("A"&amp;D105+1&amp;":J"&amp;D105+1,TRUE),4),TRUE))</f>
        <v>68.1133270264</v>
      </c>
      <c r="G105" s="18">
        <f t="array" aca="1" ref="G105" ca="1">INDIRECT(ADDRESS(D105+2,MATCH("Die "&amp;C105,INDIRECT("A"&amp;D105+1&amp;":J"&amp;D105+1,TRUE),4),TRUE))</f>
        <v>33.627746582</v>
      </c>
      <c r="H105">
        <f t="shared" ca="1" si="8"/>
        <v>1</v>
      </c>
      <c r="I105">
        <f t="shared" ca="1" si="9"/>
        <v>0</v>
      </c>
      <c r="J105">
        <f t="shared" ca="1" si="10"/>
        <v>0</v>
      </c>
      <c r="K105" s="43">
        <v>3.3111453056300002</v>
      </c>
      <c r="L105">
        <v>3.26241493225</v>
      </c>
      <c r="N105" s="47" t="str">
        <f t="shared" ca="1" si="11"/>
        <v>UD</v>
      </c>
      <c r="O105" s="43"/>
      <c r="AA105" s="47" t="str">
        <f t="shared" ca="1" si="12"/>
        <v>B</v>
      </c>
    </row>
    <row r="106" spans="3:27" x14ac:dyDescent="0.25">
      <c r="C106">
        <v>55</v>
      </c>
      <c r="D106" s="38">
        <v>24</v>
      </c>
      <c r="F106" s="18">
        <f t="array" aca="1" ref="F106" ca="1">INDIRECT(ADDRESS(D106,MATCH("Die "&amp;C106,INDIRECT("A"&amp;D106+1&amp;":J"&amp;D106+1,TRUE),4),TRUE))</f>
        <v>66.365501403799996</v>
      </c>
      <c r="G106" s="18">
        <f t="array" aca="1" ref="G106" ca="1">INDIRECT(ADDRESS(D106+2,MATCH("Die "&amp;C106,INDIRECT("A"&amp;D106+1&amp;":J"&amp;D106+1,TRUE),4),TRUE))</f>
        <v>69.955703735399993</v>
      </c>
      <c r="H106">
        <f t="shared" ca="1" si="8"/>
        <v>1</v>
      </c>
      <c r="I106">
        <f t="shared" ca="1" si="9"/>
        <v>1</v>
      </c>
      <c r="J106">
        <f t="shared" ca="1" si="10"/>
        <v>1</v>
      </c>
      <c r="K106" s="43">
        <v>3.3548521995499998</v>
      </c>
      <c r="L106">
        <v>3.2865715026900002</v>
      </c>
      <c r="N106" s="47" t="str">
        <f t="shared" ca="1" si="11"/>
        <v>BD</v>
      </c>
      <c r="O106" s="43"/>
      <c r="AA106" s="47" t="str">
        <f t="shared" ca="1" si="12"/>
        <v>A</v>
      </c>
    </row>
    <row r="107" spans="3:27" x14ac:dyDescent="0.25">
      <c r="C107">
        <v>56</v>
      </c>
      <c r="D107" s="38">
        <f t="shared" ref="D107:D115" si="15">IF(D106=D105,D106,D105+3)</f>
        <v>24</v>
      </c>
      <c r="F107" s="18">
        <f t="array" aca="1" ref="F107" ca="1">INDIRECT(ADDRESS(D107,MATCH("Die "&amp;C107,INDIRECT("A"&amp;D107+1&amp;":J"&amp;D107+1,TRUE),4),TRUE))</f>
        <v>70.814468383800005</v>
      </c>
      <c r="G107" s="18">
        <f t="array" aca="1" ref="G107" ca="1">INDIRECT(ADDRESS(D107+2,MATCH("Die "&amp;C107,INDIRECT("A"&amp;D107+1&amp;":J"&amp;D107+1,TRUE),4),TRUE))</f>
        <v>71.562385559099994</v>
      </c>
      <c r="H107">
        <f t="shared" ca="1" si="8"/>
        <v>1</v>
      </c>
      <c r="I107">
        <f t="shared" ca="1" si="9"/>
        <v>1</v>
      </c>
      <c r="J107">
        <f t="shared" ca="1" si="10"/>
        <v>1</v>
      </c>
      <c r="K107" s="43">
        <v>3.23541164398</v>
      </c>
      <c r="L107">
        <v>3.2795715331999999</v>
      </c>
      <c r="N107" s="47" t="str">
        <f t="shared" ca="1" si="11"/>
        <v>BD</v>
      </c>
      <c r="O107" s="43"/>
      <c r="AA107" s="47" t="str">
        <f t="shared" ca="1" si="12"/>
        <v>A</v>
      </c>
    </row>
    <row r="108" spans="3:27" x14ac:dyDescent="0.25">
      <c r="C108">
        <v>57</v>
      </c>
      <c r="D108" s="38">
        <f t="shared" si="15"/>
        <v>24</v>
      </c>
      <c r="F108" s="18">
        <f t="array" aca="1" ref="F108" ca="1">INDIRECT(ADDRESS(D108,MATCH("Die "&amp;C108,INDIRECT("A"&amp;D108+1&amp;":J"&amp;D108+1,TRUE),4),TRUE))</f>
        <v>71.609260559099994</v>
      </c>
      <c r="G108" s="18">
        <f t="array" aca="1" ref="G108" ca="1">INDIRECT(ADDRESS(D108+2,MATCH("Die "&amp;C108,INDIRECT("A"&amp;D108+1&amp;":J"&amp;D108+1,TRUE),4),TRUE))</f>
        <v>2.5804996490500001</v>
      </c>
      <c r="H108">
        <f t="shared" ca="1" si="8"/>
        <v>1</v>
      </c>
      <c r="I108">
        <f t="shared" ca="1" si="9"/>
        <v>0</v>
      </c>
      <c r="J108">
        <f t="shared" ca="1" si="10"/>
        <v>0</v>
      </c>
      <c r="K108" s="43">
        <v>3.3191776275599998</v>
      </c>
      <c r="L108">
        <v>3.26223134995</v>
      </c>
      <c r="N108" s="47" t="str">
        <f t="shared" ca="1" si="11"/>
        <v>UD</v>
      </c>
      <c r="O108" s="43"/>
      <c r="AA108" s="47" t="str">
        <f t="shared" ca="1" si="12"/>
        <v>B</v>
      </c>
    </row>
    <row r="109" spans="3:27" x14ac:dyDescent="0.25">
      <c r="C109">
        <v>58</v>
      </c>
      <c r="D109" s="38">
        <f t="shared" si="15"/>
        <v>24</v>
      </c>
      <c r="F109" s="18">
        <f t="array" aca="1" ref="F109" ca="1">INDIRECT(ADDRESS(D109,MATCH("Die "&amp;C109,INDIRECT("A"&amp;D109+1&amp;":J"&amp;D109+1,TRUE),4),TRUE))</f>
        <v>70.733001709000007</v>
      </c>
      <c r="G109" s="18">
        <f t="array" aca="1" ref="G109" ca="1">INDIRECT(ADDRESS(D109+2,MATCH("Die "&amp;C109,INDIRECT("A"&amp;D109+1&amp;":J"&amp;D109+1,TRUE),4),TRUE))</f>
        <v>24.054454803500001</v>
      </c>
      <c r="H109">
        <f t="shared" ca="1" si="8"/>
        <v>1</v>
      </c>
      <c r="I109">
        <f t="shared" ca="1" si="9"/>
        <v>0</v>
      </c>
      <c r="J109">
        <f t="shared" ca="1" si="10"/>
        <v>0</v>
      </c>
      <c r="K109" s="43">
        <v>3.2862281799300002</v>
      </c>
      <c r="L109">
        <v>3.3693051338200002</v>
      </c>
      <c r="N109" s="47" t="str">
        <f t="shared" ca="1" si="11"/>
        <v>UD</v>
      </c>
      <c r="O109" s="43"/>
      <c r="AA109" s="47" t="str">
        <f t="shared" ca="1" si="12"/>
        <v>B</v>
      </c>
    </row>
    <row r="110" spans="3:27" x14ac:dyDescent="0.25">
      <c r="C110">
        <v>59</v>
      </c>
      <c r="D110" s="38">
        <f t="shared" si="15"/>
        <v>24</v>
      </c>
      <c r="F110" s="18">
        <f t="array" aca="1" ref="F110" ca="1">INDIRECT(ADDRESS(D110,MATCH("Die "&amp;C110,INDIRECT("A"&amp;D110+1&amp;":J"&amp;D110+1,TRUE),4),TRUE))</f>
        <v>69.607666015600003</v>
      </c>
      <c r="G110" s="18">
        <f t="array" aca="1" ref="G110" ca="1">INDIRECT(ADDRESS(D110+2,MATCH("Die "&amp;C110,INDIRECT("A"&amp;D110+1&amp;":J"&amp;D110+1,TRUE),4),TRUE))</f>
        <v>27.996683120699998</v>
      </c>
      <c r="H110">
        <f t="shared" ca="1" si="8"/>
        <v>1</v>
      </c>
      <c r="I110">
        <f t="shared" ca="1" si="9"/>
        <v>0</v>
      </c>
      <c r="J110">
        <f t="shared" ca="1" si="10"/>
        <v>0</v>
      </c>
      <c r="K110" s="43">
        <v>3.2995319366500002</v>
      </c>
      <c r="L110">
        <v>3.35857629776</v>
      </c>
      <c r="N110" s="47" t="str">
        <f t="shared" ca="1" si="11"/>
        <v>UD</v>
      </c>
      <c r="O110" s="43"/>
      <c r="AA110" s="47" t="str">
        <f t="shared" ca="1" si="12"/>
        <v>B</v>
      </c>
    </row>
    <row r="111" spans="3:27" x14ac:dyDescent="0.25">
      <c r="C111">
        <v>60</v>
      </c>
      <c r="D111" s="38">
        <f t="shared" si="15"/>
        <v>24</v>
      </c>
      <c r="F111" s="18">
        <f t="array" aca="1" ref="F111" ca="1">INDIRECT(ADDRESS(D111,MATCH("Die "&amp;C111,INDIRECT("A"&amp;D111+1&amp;":J"&amp;D111+1,TRUE),4),TRUE))</f>
        <v>68.1845703125</v>
      </c>
      <c r="G111" s="18">
        <f t="array" aca="1" ref="G111" ca="1">INDIRECT(ADDRESS(D111+2,MATCH("Die "&amp;C111,INDIRECT("A"&amp;D111+1&amp;":J"&amp;D111+1,TRUE),4),TRUE))</f>
        <v>67.750122070299994</v>
      </c>
      <c r="H111">
        <f t="shared" ca="1" si="8"/>
        <v>1</v>
      </c>
      <c r="I111">
        <f t="shared" ca="1" si="9"/>
        <v>1</v>
      </c>
      <c r="J111">
        <f t="shared" ca="1" si="10"/>
        <v>1</v>
      </c>
      <c r="K111" s="43">
        <v>3.24110269547</v>
      </c>
      <c r="L111">
        <v>3.3065056800799999</v>
      </c>
      <c r="N111" s="47" t="str">
        <f t="shared" ca="1" si="11"/>
        <v>BD</v>
      </c>
      <c r="O111" s="43"/>
      <c r="AA111" s="47" t="str">
        <f t="shared" ca="1" si="12"/>
        <v>A</v>
      </c>
    </row>
    <row r="112" spans="3:27" x14ac:dyDescent="0.25">
      <c r="C112">
        <v>61</v>
      </c>
      <c r="D112" s="38">
        <f t="shared" si="15"/>
        <v>24</v>
      </c>
      <c r="F112" s="18">
        <f t="array" aca="1" ref="F112" ca="1">INDIRECT(ADDRESS(D112,MATCH("Die "&amp;C112,INDIRECT("A"&amp;D112+1&amp;":J"&amp;D112+1,TRUE),4),TRUE))</f>
        <v>22.349048614499999</v>
      </c>
      <c r="G112" s="18">
        <f t="array" aca="1" ref="G112" ca="1">INDIRECT(ADDRESS(D112+2,MATCH("Die "&amp;C112,INDIRECT("A"&amp;D112+1&amp;":J"&amp;D112+1,TRUE),4),TRUE))</f>
        <v>68.522979736300002</v>
      </c>
      <c r="H112">
        <f t="shared" ca="1" si="8"/>
        <v>0</v>
      </c>
      <c r="I112">
        <f t="shared" ca="1" si="9"/>
        <v>1</v>
      </c>
      <c r="J112">
        <f t="shared" ca="1" si="10"/>
        <v>0</v>
      </c>
      <c r="K112" s="43">
        <v>3.1914830207799998</v>
      </c>
      <c r="L112">
        <v>3.2779550552400001</v>
      </c>
      <c r="N112" s="47" t="str">
        <f t="shared" ca="1" si="11"/>
        <v>UD</v>
      </c>
      <c r="O112" s="43"/>
      <c r="AA112" s="47" t="str">
        <f t="shared" ca="1" si="12"/>
        <v>B</v>
      </c>
    </row>
    <row r="113" spans="3:27" x14ac:dyDescent="0.25">
      <c r="C113">
        <v>62</v>
      </c>
      <c r="D113" s="38">
        <f t="shared" si="15"/>
        <v>24</v>
      </c>
      <c r="F113" s="18">
        <f t="array" aca="1" ref="F113" ca="1">INDIRECT(ADDRESS(D113,MATCH("Die "&amp;C113,INDIRECT("A"&amp;D113+1&amp;":J"&amp;D113+1,TRUE),4),TRUE))</f>
        <v>3.0746221542400001</v>
      </c>
      <c r="G113" s="18">
        <f t="array" aca="1" ref="G113" ca="1">INDIRECT(ADDRESS(D113+2,MATCH("Die "&amp;C113,INDIRECT("A"&amp;D113+1&amp;":J"&amp;D113+1,TRUE),4),TRUE))</f>
        <v>69.445610046400006</v>
      </c>
      <c r="H113">
        <f t="shared" ca="1" si="8"/>
        <v>0</v>
      </c>
      <c r="I113">
        <f t="shared" ca="1" si="9"/>
        <v>1</v>
      </c>
      <c r="J113">
        <f t="shared" ca="1" si="10"/>
        <v>0</v>
      </c>
      <c r="K113" s="43">
        <v>3.1331753730799998</v>
      </c>
      <c r="L113">
        <v>3.3244228363000001</v>
      </c>
      <c r="N113" s="47" t="str">
        <f t="shared" ca="1" si="11"/>
        <v>UD</v>
      </c>
      <c r="O113" s="43"/>
      <c r="AA113" s="47" t="str">
        <f t="shared" ca="1" si="12"/>
        <v>B</v>
      </c>
    </row>
    <row r="114" spans="3:27" x14ac:dyDescent="0.25">
      <c r="C114">
        <v>63</v>
      </c>
      <c r="D114" s="38">
        <f t="shared" si="15"/>
        <v>24</v>
      </c>
      <c r="F114" s="18">
        <f t="array" aca="1" ref="F114" ca="1">INDIRECT(ADDRESS(D114,MATCH("Die "&amp;C114,INDIRECT("A"&amp;D114+1&amp;":J"&amp;D114+1,TRUE),4),TRUE))</f>
        <v>71.030212402299995</v>
      </c>
      <c r="G114" s="18">
        <f t="array" aca="1" ref="G114" ca="1">INDIRECT(ADDRESS(D114+2,MATCH("Die "&amp;C114,INDIRECT("A"&amp;D114+1&amp;":J"&amp;D114+1,TRUE),4),TRUE))</f>
        <v>68.766593933099998</v>
      </c>
      <c r="H114">
        <f t="shared" ca="1" si="8"/>
        <v>1</v>
      </c>
      <c r="I114">
        <f t="shared" ca="1" si="9"/>
        <v>1</v>
      </c>
      <c r="J114">
        <f t="shared" ca="1" si="10"/>
        <v>1</v>
      </c>
      <c r="K114" s="43">
        <v>3.1107378005999999</v>
      </c>
      <c r="L114">
        <v>3.2481813430800002</v>
      </c>
      <c r="N114" s="47" t="str">
        <f t="shared" ca="1" si="11"/>
        <v>BD</v>
      </c>
      <c r="O114" s="43"/>
      <c r="AA114" s="47" t="str">
        <f t="shared" ca="1" si="12"/>
        <v>A</v>
      </c>
    </row>
    <row r="115" spans="3:27" x14ac:dyDescent="0.25">
      <c r="C115" s="20">
        <v>64</v>
      </c>
      <c r="D115" s="44">
        <f t="shared" si="15"/>
        <v>24</v>
      </c>
      <c r="E115" s="20"/>
      <c r="F115" s="18">
        <f t="array" aca="1" ref="F115" ca="1">INDIRECT(ADDRESS(D115,MATCH("Die "&amp;C115,INDIRECT("A"&amp;D115+1&amp;":J"&amp;D115+1,TRUE),4),TRUE))</f>
        <v>69.936058044399999</v>
      </c>
      <c r="G115" s="18">
        <f t="array" aca="1" ref="G115" ca="1">INDIRECT(ADDRESS(D115+2,MATCH("Die "&amp;C115,INDIRECT("A"&amp;D115+1&amp;":J"&amp;D115+1,TRUE),4),TRUE))</f>
        <v>63.4332427979</v>
      </c>
      <c r="H115">
        <f t="shared" ca="1" si="8"/>
        <v>1</v>
      </c>
      <c r="I115">
        <f t="shared" ca="1" si="9"/>
        <v>1</v>
      </c>
      <c r="J115">
        <f t="shared" ca="1" si="10"/>
        <v>1</v>
      </c>
      <c r="K115" s="43">
        <v>3.17146539688</v>
      </c>
      <c r="L115">
        <v>3.3728790283199999</v>
      </c>
      <c r="N115" s="47" t="str">
        <f t="shared" ca="1" si="11"/>
        <v>BD</v>
      </c>
      <c r="O115" s="43"/>
      <c r="AA115" s="47" t="str">
        <f t="shared" ca="1" si="12"/>
        <v>A</v>
      </c>
    </row>
    <row r="116" spans="3:27" x14ac:dyDescent="0.25">
      <c r="C116">
        <v>65</v>
      </c>
      <c r="D116" s="38">
        <v>27</v>
      </c>
      <c r="F116" s="18">
        <f t="array" aca="1" ref="F116" ca="1">INDIRECT(ADDRESS(D116,MATCH("Die "&amp;C116,INDIRECT("A"&amp;D116+1&amp;":J"&amp;D116+1,TRUE),4),TRUE))</f>
        <v>67.012954711899994</v>
      </c>
      <c r="G116" s="18">
        <f t="array" aca="1" ref="G116" ca="1">INDIRECT(ADDRESS(D116+2,MATCH("Die "&amp;C116,INDIRECT("A"&amp;D116+1&amp;":J"&amp;D116+1,TRUE),4),TRUE))</f>
        <v>63.384819030800003</v>
      </c>
      <c r="H116">
        <f t="shared" ref="H116:H139" ca="1" si="16">IF(AND(ISNUMBER(F116),F116 &gt;=$B$48,F116&lt;$E$48),1,0)</f>
        <v>1</v>
      </c>
      <c r="I116">
        <f t="shared" ref="I116:I139" ca="1" si="17">IF(AND(ISNUMBER(G116),G116 &gt;= $B$48,G116&lt;$E$48),1,0)</f>
        <v>1</v>
      </c>
      <c r="J116">
        <f t="shared" ref="J116:J147" ca="1" si="18">IF(AND(H116 = 1, I116 = 1),1,0)</f>
        <v>1</v>
      </c>
      <c r="K116" s="43">
        <v>3.2679843902600001</v>
      </c>
      <c r="L116">
        <v>3.6925768852199998</v>
      </c>
      <c r="N116" s="47" t="str">
        <f t="shared" ref="N116:N139" ca="1" si="19">IF(OR(ISNUMBER(F116),ISNUMBER(G116)),IF(AND(ISNUMBER(F116),ISNUMBER(G116),F116&gt;=$B$48,G116&gt;=$B$48,F116&lt;$E$48,G116&lt;$E$48),"BD",IF(OR(F116&gt;=$B$48/2,G116&gt;=$B$48/2),"UD","")),"")</f>
        <v>BD</v>
      </c>
      <c r="O116" s="43"/>
      <c r="AA116" s="47" t="str">
        <f t="shared" ref="AA116:AA139" ca="1" si="20">IF(AND(N116="",COUNTIF($N$52:$N$139,"UD")=0),"",IF(N116="BD","A",IF(N116="UD","B","C")))</f>
        <v>A</v>
      </c>
    </row>
    <row r="117" spans="3:27" x14ac:dyDescent="0.25">
      <c r="C117">
        <v>66</v>
      </c>
      <c r="D117" s="38">
        <f t="shared" ref="D117:D125" si="21">IF(D116=D115,D116,D115+3)</f>
        <v>27</v>
      </c>
      <c r="F117" s="18">
        <f t="array" aca="1" ref="F117" ca="1">INDIRECT(ADDRESS(D117,MATCH("Die "&amp;C117,INDIRECT("A"&amp;D117+1&amp;":J"&amp;D117+1,TRUE),4),TRUE))</f>
        <v>69.926452636700006</v>
      </c>
      <c r="G117" s="18">
        <f t="array" aca="1" ref="G117" ca="1">INDIRECT(ADDRESS(D117+2,MATCH("Die "&amp;C117,INDIRECT("A"&amp;D117+1&amp;":J"&amp;D117+1,TRUE),4),TRUE))</f>
        <v>67.301681518600006</v>
      </c>
      <c r="H117">
        <f t="shared" ca="1" si="16"/>
        <v>1</v>
      </c>
      <c r="I117">
        <f t="shared" ca="1" si="17"/>
        <v>1</v>
      </c>
      <c r="J117">
        <f t="shared" ca="1" si="18"/>
        <v>1</v>
      </c>
      <c r="K117" s="43">
        <v>3.1152415275599998</v>
      </c>
      <c r="L117">
        <v>3.21107625961</v>
      </c>
      <c r="N117" s="47" t="str">
        <f t="shared" ca="1" si="19"/>
        <v>BD</v>
      </c>
      <c r="O117" s="43"/>
      <c r="AA117" s="47" t="str">
        <f t="shared" ca="1" si="20"/>
        <v>A</v>
      </c>
    </row>
    <row r="118" spans="3:27" x14ac:dyDescent="0.25">
      <c r="C118">
        <v>67</v>
      </c>
      <c r="D118" s="38">
        <f t="shared" si="21"/>
        <v>27</v>
      </c>
      <c r="F118" s="18">
        <f t="array" aca="1" ref="F118" ca="1">INDIRECT(ADDRESS(D118,MATCH("Die "&amp;C118,INDIRECT("A"&amp;D118+1&amp;":J"&amp;D118+1,TRUE),4),TRUE))</f>
        <v>9.8520278930699998</v>
      </c>
      <c r="G118" s="18">
        <f t="array" aca="1" ref="G118" ca="1">INDIRECT(ADDRESS(D118+2,MATCH("Die "&amp;C118,INDIRECT("A"&amp;D118+1&amp;":J"&amp;D118+1,TRUE),4),TRUE))</f>
        <v>69.664382934599999</v>
      </c>
      <c r="H118">
        <f t="shared" ca="1" si="16"/>
        <v>0</v>
      </c>
      <c r="I118">
        <f t="shared" ca="1" si="17"/>
        <v>1</v>
      </c>
      <c r="J118">
        <f t="shared" ca="1" si="18"/>
        <v>0</v>
      </c>
      <c r="K118" s="43">
        <v>3.1243586540199999</v>
      </c>
      <c r="L118">
        <v>3.2114458084100002</v>
      </c>
      <c r="N118" s="47" t="str">
        <f t="shared" ca="1" si="19"/>
        <v>UD</v>
      </c>
      <c r="O118" s="43"/>
      <c r="AA118" s="47" t="str">
        <f t="shared" ca="1" si="20"/>
        <v>B</v>
      </c>
    </row>
    <row r="119" spans="3:27" x14ac:dyDescent="0.25">
      <c r="C119">
        <v>68</v>
      </c>
      <c r="D119" s="38">
        <f t="shared" si="21"/>
        <v>27</v>
      </c>
      <c r="F119" s="18">
        <f t="array" aca="1" ref="F119" ca="1">INDIRECT(ADDRESS(D119,MATCH("Die "&amp;C119,INDIRECT("A"&amp;D119+1&amp;":J"&amp;D119+1,TRUE),4),TRUE))</f>
        <v>69.501785278300005</v>
      </c>
      <c r="G119" s="18">
        <f t="array" aca="1" ref="G119" ca="1">INDIRECT(ADDRESS(D119+2,MATCH("Die "&amp;C119,INDIRECT("A"&amp;D119+1&amp;":J"&amp;D119+1,TRUE),4),TRUE))</f>
        <v>68.9228973389</v>
      </c>
      <c r="H119">
        <f t="shared" ca="1" si="16"/>
        <v>1</v>
      </c>
      <c r="I119">
        <f t="shared" ca="1" si="17"/>
        <v>1</v>
      </c>
      <c r="J119">
        <f t="shared" ca="1" si="18"/>
        <v>1</v>
      </c>
      <c r="K119" s="43">
        <v>3.1376504898099999</v>
      </c>
      <c r="L119">
        <v>3.22612524033</v>
      </c>
      <c r="N119" s="47" t="str">
        <f t="shared" ca="1" si="19"/>
        <v>BD</v>
      </c>
      <c r="O119" s="43"/>
      <c r="AA119" s="47" t="str">
        <f t="shared" ca="1" si="20"/>
        <v>A</v>
      </c>
    </row>
    <row r="120" spans="3:27" x14ac:dyDescent="0.25">
      <c r="C120">
        <v>69</v>
      </c>
      <c r="D120" s="38">
        <f t="shared" si="21"/>
        <v>27</v>
      </c>
      <c r="F120" s="18">
        <f t="array" aca="1" ref="F120" ca="1">INDIRECT(ADDRESS(D120,MATCH("Die "&amp;C120,INDIRECT("A"&amp;D120+1&amp;":J"&amp;D120+1,TRUE),4),TRUE))</f>
        <v>69.430900573700001</v>
      </c>
      <c r="G120" s="18">
        <f t="array" aca="1" ref="G120" ca="1">INDIRECT(ADDRESS(D120+2,MATCH("Die "&amp;C120,INDIRECT("A"&amp;D120+1&amp;":J"&amp;D120+1,TRUE),4),TRUE))</f>
        <v>68.925216674799998</v>
      </c>
      <c r="H120">
        <f t="shared" ca="1" si="16"/>
        <v>1</v>
      </c>
      <c r="I120">
        <f t="shared" ca="1" si="17"/>
        <v>1</v>
      </c>
      <c r="J120">
        <f t="shared" ca="1" si="18"/>
        <v>1</v>
      </c>
      <c r="K120" s="43">
        <v>3.1881022453300001</v>
      </c>
      <c r="L120">
        <v>3.2552552223200002</v>
      </c>
      <c r="N120" s="47" t="str">
        <f t="shared" ca="1" si="19"/>
        <v>BD</v>
      </c>
      <c r="O120" s="43"/>
      <c r="AA120" s="47" t="str">
        <f t="shared" ca="1" si="20"/>
        <v>A</v>
      </c>
    </row>
    <row r="121" spans="3:27" x14ac:dyDescent="0.25">
      <c r="C121">
        <v>70</v>
      </c>
      <c r="D121" s="38">
        <f t="shared" si="21"/>
        <v>27</v>
      </c>
      <c r="F121" s="18">
        <f t="array" aca="1" ref="F121" ca="1">INDIRECT(ADDRESS(D121,MATCH("Die "&amp;C121,INDIRECT("A"&amp;D121+1&amp;":J"&amp;D121+1,TRUE),4),TRUE))</f>
        <v>70.321319580099996</v>
      </c>
      <c r="G121" s="18">
        <f t="array" aca="1" ref="G121" ca="1">INDIRECT(ADDRESS(D121+2,MATCH("Die "&amp;C121,INDIRECT("A"&amp;D121+1&amp;":J"&amp;D121+1,TRUE),4),TRUE))</f>
        <v>38.092803955100003</v>
      </c>
      <c r="H121">
        <f t="shared" ca="1" si="16"/>
        <v>1</v>
      </c>
      <c r="I121">
        <f t="shared" ca="1" si="17"/>
        <v>0</v>
      </c>
      <c r="J121">
        <f t="shared" ca="1" si="18"/>
        <v>0</v>
      </c>
      <c r="K121" s="43">
        <v>3.23085784912</v>
      </c>
      <c r="L121">
        <v>3.3193731307999998</v>
      </c>
      <c r="N121" s="47" t="str">
        <f t="shared" ca="1" si="19"/>
        <v>UD</v>
      </c>
      <c r="O121" s="43"/>
      <c r="AA121" s="47" t="str">
        <f t="shared" ca="1" si="20"/>
        <v>B</v>
      </c>
    </row>
    <row r="122" spans="3:27" x14ac:dyDescent="0.25">
      <c r="C122">
        <v>71</v>
      </c>
      <c r="D122" s="38">
        <f t="shared" si="21"/>
        <v>27</v>
      </c>
      <c r="F122" s="18">
        <f t="array" aca="1" ref="F122" ca="1">INDIRECT(ADDRESS(D122,MATCH("Die "&amp;C122,INDIRECT("A"&amp;D122+1&amp;":J"&amp;D122+1,TRUE),4),TRUE))</f>
        <v>70.642234802199994</v>
      </c>
      <c r="G122" s="18">
        <f t="array" aca="1" ref="G122" ca="1">INDIRECT(ADDRESS(D122+2,MATCH("Die "&amp;C122,INDIRECT("A"&amp;D122+1&amp;":J"&amp;D122+1,TRUE),4),TRUE))</f>
        <v>70.359756469700002</v>
      </c>
      <c r="H122">
        <f t="shared" ca="1" si="16"/>
        <v>1</v>
      </c>
      <c r="I122">
        <f t="shared" ca="1" si="17"/>
        <v>1</v>
      </c>
      <c r="J122">
        <f t="shared" ca="1" si="18"/>
        <v>1</v>
      </c>
      <c r="K122" s="43">
        <v>3.2326412200900001</v>
      </c>
      <c r="L122">
        <v>3.3529043197599999</v>
      </c>
      <c r="N122" s="47" t="str">
        <f t="shared" ca="1" si="19"/>
        <v>BD</v>
      </c>
      <c r="O122" s="43"/>
      <c r="AA122" s="47" t="str">
        <f t="shared" ca="1" si="20"/>
        <v>A</v>
      </c>
    </row>
    <row r="123" spans="3:27" x14ac:dyDescent="0.25">
      <c r="C123">
        <v>72</v>
      </c>
      <c r="D123" s="38">
        <f t="shared" si="21"/>
        <v>27</v>
      </c>
      <c r="F123" s="18">
        <f t="array" aca="1" ref="F123" ca="1">INDIRECT(ADDRESS(D123,MATCH("Die "&amp;C123,INDIRECT("A"&amp;D123+1&amp;":J"&amp;D123+1,TRUE),4),TRUE))</f>
        <v>50.4479179382</v>
      </c>
      <c r="G123" s="18">
        <f t="array" aca="1" ref="G123" ca="1">INDIRECT(ADDRESS(D123+2,MATCH("Die "&amp;C123,INDIRECT("A"&amp;D123+1&amp;":J"&amp;D123+1,TRUE),4),TRUE))</f>
        <v>70.946502685499993</v>
      </c>
      <c r="H123">
        <f t="shared" ca="1" si="16"/>
        <v>1</v>
      </c>
      <c r="I123">
        <f t="shared" ca="1" si="17"/>
        <v>1</v>
      </c>
      <c r="J123">
        <f t="shared" ca="1" si="18"/>
        <v>1</v>
      </c>
      <c r="K123" s="43">
        <v>3.2122659683200001</v>
      </c>
      <c r="L123">
        <v>3.29300165176</v>
      </c>
      <c r="N123" s="47" t="str">
        <f t="shared" ca="1" si="19"/>
        <v>BD</v>
      </c>
      <c r="O123" s="43"/>
      <c r="AA123" s="47" t="str">
        <f t="shared" ca="1" si="20"/>
        <v>A</v>
      </c>
    </row>
    <row r="124" spans="3:27" x14ac:dyDescent="0.25">
      <c r="C124">
        <v>73</v>
      </c>
      <c r="D124" s="38">
        <f t="shared" si="21"/>
        <v>27</v>
      </c>
      <c r="F124" s="18">
        <f t="array" aca="1" ref="F124" ca="1">INDIRECT(ADDRESS(D124,MATCH("Die "&amp;C124,INDIRECT("A"&amp;D124+1&amp;":J"&amp;D124+1,TRUE),4),TRUE))</f>
        <v>67.981170654300001</v>
      </c>
      <c r="G124" s="18">
        <f t="array" aca="1" ref="G124" ca="1">INDIRECT(ADDRESS(D124+2,MATCH("Die "&amp;C124,INDIRECT("A"&amp;D124+1&amp;":J"&amp;D124+1,TRUE),4),TRUE))</f>
        <v>53.667213439900003</v>
      </c>
      <c r="H124">
        <f t="shared" ca="1" si="16"/>
        <v>1</v>
      </c>
      <c r="I124">
        <f t="shared" ca="1" si="17"/>
        <v>1</v>
      </c>
      <c r="J124">
        <f t="shared" ca="1" si="18"/>
        <v>1</v>
      </c>
      <c r="K124" s="43">
        <v>3.2454633712800001</v>
      </c>
      <c r="L124">
        <v>3.2594561576799999</v>
      </c>
      <c r="N124" s="47" t="str">
        <f t="shared" ca="1" si="19"/>
        <v>BD</v>
      </c>
      <c r="O124" s="43"/>
      <c r="AA124" s="47" t="str">
        <f t="shared" ca="1" si="20"/>
        <v>A</v>
      </c>
    </row>
    <row r="125" spans="3:27" x14ac:dyDescent="0.25">
      <c r="C125" s="20">
        <v>74</v>
      </c>
      <c r="D125" s="44">
        <f t="shared" si="21"/>
        <v>27</v>
      </c>
      <c r="E125" s="20"/>
      <c r="F125" s="18">
        <f t="array" aca="1" ref="F125" ca="1">INDIRECT(ADDRESS(D125,MATCH("Die "&amp;C125,INDIRECT("A"&amp;D125+1&amp;":J"&amp;D125+1,TRUE),4),TRUE))</f>
        <v>64.725852966299996</v>
      </c>
      <c r="G125" s="18">
        <f t="array" aca="1" ref="G125" ca="1">INDIRECT(ADDRESS(D125+2,MATCH("Die "&amp;C125,INDIRECT("A"&amp;D125+1&amp;":J"&amp;D125+1,TRUE),4),TRUE))</f>
        <v>66.680786132799994</v>
      </c>
      <c r="H125">
        <f t="shared" ca="1" si="16"/>
        <v>1</v>
      </c>
      <c r="I125">
        <f t="shared" ca="1" si="17"/>
        <v>1</v>
      </c>
      <c r="J125">
        <f t="shared" ca="1" si="18"/>
        <v>1</v>
      </c>
      <c r="K125" s="43">
        <v>3.4124183654800002</v>
      </c>
      <c r="L125">
        <v>3.38328838348</v>
      </c>
      <c r="N125" s="47" t="str">
        <f t="shared" ca="1" si="19"/>
        <v>BD</v>
      </c>
      <c r="O125" s="43"/>
      <c r="AA125" s="47" t="str">
        <f t="shared" ca="1" si="20"/>
        <v>A</v>
      </c>
    </row>
    <row r="126" spans="3:27" x14ac:dyDescent="0.25">
      <c r="C126">
        <v>75</v>
      </c>
      <c r="D126" s="38">
        <v>30</v>
      </c>
      <c r="F126" s="18">
        <f t="array" aca="1" ref="F126" ca="1">INDIRECT(ADDRESS(D126,MATCH("Die "&amp;C126,INDIRECT("A"&amp;D126+1&amp;":J"&amp;D126+1,TRUE),4),TRUE))</f>
        <v>65.030380249000004</v>
      </c>
      <c r="G126" s="18">
        <f t="array" aca="1" ref="G126" ca="1">INDIRECT(ADDRESS(D126+2,MATCH("Die "&amp;C126,INDIRECT("A"&amp;D126+1&amp;":J"&amp;D126+1,TRUE),4),TRUE))</f>
        <v>66.633537292499994</v>
      </c>
      <c r="H126">
        <f t="shared" ca="1" si="16"/>
        <v>1</v>
      </c>
      <c r="I126">
        <f t="shared" ca="1" si="17"/>
        <v>1</v>
      </c>
      <c r="J126">
        <f t="shared" ca="1" si="18"/>
        <v>1</v>
      </c>
      <c r="K126" s="43">
        <v>3.2958984375</v>
      </c>
      <c r="L126">
        <v>3.2604360580399998</v>
      </c>
      <c r="N126" s="47" t="str">
        <f t="shared" ca="1" si="19"/>
        <v>BD</v>
      </c>
      <c r="O126" s="43"/>
      <c r="AA126" s="47" t="str">
        <f t="shared" ca="1" si="20"/>
        <v>A</v>
      </c>
    </row>
    <row r="127" spans="3:27" x14ac:dyDescent="0.25">
      <c r="C127">
        <v>76</v>
      </c>
      <c r="D127" s="38">
        <f t="shared" ref="D127:D133" si="22">IF(D126=D125,D126,D125+3)</f>
        <v>30</v>
      </c>
      <c r="F127" s="18">
        <f t="array" aca="1" ref="F127" ca="1">INDIRECT(ADDRESS(D127,MATCH("Die "&amp;C127,INDIRECT("A"&amp;D127+1&amp;":J"&amp;D127+1,TRUE),4),TRUE))</f>
        <v>68.892288207999997</v>
      </c>
      <c r="G127" s="18">
        <f t="array" aca="1" ref="G127" ca="1">INDIRECT(ADDRESS(D127+2,MATCH("Die "&amp;C127,INDIRECT("A"&amp;D127+1&amp;":J"&amp;D127+1,TRUE),4),TRUE))</f>
        <v>65.276405334499998</v>
      </c>
      <c r="H127">
        <f t="shared" ca="1" si="16"/>
        <v>1</v>
      </c>
      <c r="I127">
        <f t="shared" ca="1" si="17"/>
        <v>1</v>
      </c>
      <c r="J127">
        <f t="shared" ca="1" si="18"/>
        <v>1</v>
      </c>
      <c r="K127" s="43">
        <v>3.1579661369299998</v>
      </c>
      <c r="L127">
        <v>3.2031774520899998</v>
      </c>
      <c r="N127" s="47" t="str">
        <f t="shared" ca="1" si="19"/>
        <v>BD</v>
      </c>
      <c r="O127" s="43"/>
      <c r="AA127" s="47" t="str">
        <f t="shared" ca="1" si="20"/>
        <v>A</v>
      </c>
    </row>
    <row r="128" spans="3:27" x14ac:dyDescent="0.25">
      <c r="C128">
        <v>77</v>
      </c>
      <c r="D128" s="38">
        <f t="shared" si="22"/>
        <v>30</v>
      </c>
      <c r="F128" s="18">
        <f t="array" aca="1" ref="F128" ca="1">INDIRECT(ADDRESS(D128,MATCH("Die "&amp;C128,INDIRECT("A"&amp;D128+1&amp;":J"&amp;D128+1,TRUE),4),TRUE))</f>
        <v>0.40280818939200003</v>
      </c>
      <c r="G128" s="18">
        <f t="array" aca="1" ref="G128" ca="1">INDIRECT(ADDRESS(D128+2,MATCH("Die "&amp;C128,INDIRECT("A"&amp;D128+1&amp;":J"&amp;D128+1,TRUE),4),TRUE))</f>
        <v>0.143933296204</v>
      </c>
      <c r="H128">
        <f t="shared" ca="1" si="16"/>
        <v>0</v>
      </c>
      <c r="I128">
        <f t="shared" ca="1" si="17"/>
        <v>0</v>
      </c>
      <c r="J128">
        <f t="shared" ca="1" si="18"/>
        <v>0</v>
      </c>
      <c r="K128" s="43">
        <v>2.9399466514600001</v>
      </c>
      <c r="L128">
        <v>2.9673075675999998</v>
      </c>
      <c r="N128" s="47" t="str">
        <f t="shared" ca="1" si="19"/>
        <v/>
      </c>
      <c r="O128" s="43"/>
      <c r="AA128" s="47" t="str">
        <f t="shared" ca="1" si="20"/>
        <v>C</v>
      </c>
    </row>
    <row r="129" spans="3:27" x14ac:dyDescent="0.25">
      <c r="C129">
        <v>78</v>
      </c>
      <c r="D129" s="38">
        <f t="shared" si="22"/>
        <v>30</v>
      </c>
      <c r="F129" s="18">
        <f t="array" aca="1" ref="F129" ca="1">INDIRECT(ADDRESS(D129,MATCH("Die "&amp;C129,INDIRECT("A"&amp;D129+1&amp;":J"&amp;D129+1,TRUE),4),TRUE))</f>
        <v>70.624778747600004</v>
      </c>
      <c r="G129" s="18">
        <f t="array" aca="1" ref="G129" ca="1">INDIRECT(ADDRESS(D129+2,MATCH("Die "&amp;C129,INDIRECT("A"&amp;D129+1&amp;":J"&amp;D129+1,TRUE),4),TRUE))</f>
        <v>24.044227600100001</v>
      </c>
      <c r="H129">
        <f t="shared" ca="1" si="16"/>
        <v>1</v>
      </c>
      <c r="I129">
        <f t="shared" ca="1" si="17"/>
        <v>0</v>
      </c>
      <c r="J129">
        <f t="shared" ca="1" si="18"/>
        <v>0</v>
      </c>
      <c r="K129" s="43">
        <v>3.1551051139799999</v>
      </c>
      <c r="L129">
        <v>3.2317781448399998</v>
      </c>
      <c r="N129" s="47" t="str">
        <f t="shared" ca="1" si="19"/>
        <v>UD</v>
      </c>
      <c r="O129" s="43"/>
      <c r="AA129" s="47" t="str">
        <f t="shared" ca="1" si="20"/>
        <v>B</v>
      </c>
    </row>
    <row r="130" spans="3:27" x14ac:dyDescent="0.25">
      <c r="C130">
        <v>79</v>
      </c>
      <c r="D130" s="38">
        <f t="shared" si="22"/>
        <v>30</v>
      </c>
      <c r="F130" s="18">
        <f t="array" aca="1" ref="F130" ca="1">INDIRECT(ADDRESS(D130,MATCH("Die "&amp;C130,INDIRECT("A"&amp;D130+1&amp;":J"&amp;D130+1,TRUE),4),TRUE))</f>
        <v>69.695922851600002</v>
      </c>
      <c r="G130" s="18">
        <f t="array" aca="1" ref="G130" ca="1">INDIRECT(ADDRESS(D130+2,MATCH("Die "&amp;C130,INDIRECT("A"&amp;D130+1&amp;":J"&amp;D130+1,TRUE),4),TRUE))</f>
        <v>70.059677124000004</v>
      </c>
      <c r="H130">
        <f t="shared" ca="1" si="16"/>
        <v>1</v>
      </c>
      <c r="I130">
        <f t="shared" ca="1" si="17"/>
        <v>1</v>
      </c>
      <c r="J130">
        <f t="shared" ca="1" si="18"/>
        <v>1</v>
      </c>
      <c r="K130" s="43">
        <v>3.1331944465600001</v>
      </c>
      <c r="L130">
        <v>3.1936621665999998</v>
      </c>
      <c r="N130" s="47" t="str">
        <f t="shared" ca="1" si="19"/>
        <v>BD</v>
      </c>
      <c r="O130" s="43"/>
      <c r="AA130" s="47" t="str">
        <f t="shared" ca="1" si="20"/>
        <v>A</v>
      </c>
    </row>
    <row r="131" spans="3:27" x14ac:dyDescent="0.25">
      <c r="C131">
        <v>80</v>
      </c>
      <c r="D131" s="38">
        <f t="shared" si="22"/>
        <v>30</v>
      </c>
      <c r="F131" s="18">
        <f t="array" aca="1" ref="F131" ca="1">INDIRECT(ADDRESS(D131,MATCH("Die "&amp;C131,INDIRECT("A"&amp;D131+1&amp;":J"&amp;D131+1,TRUE),4),TRUE))</f>
        <v>70.077369689899996</v>
      </c>
      <c r="G131" s="18">
        <f t="array" aca="1" ref="G131" ca="1">INDIRECT(ADDRESS(D131+2,MATCH("Die "&amp;C131,INDIRECT("A"&amp;D131+1&amp;":J"&amp;D131+1,TRUE),4),TRUE))</f>
        <v>68.969985961899994</v>
      </c>
      <c r="H131">
        <f t="shared" ca="1" si="16"/>
        <v>1</v>
      </c>
      <c r="I131">
        <f t="shared" ca="1" si="17"/>
        <v>1</v>
      </c>
      <c r="J131">
        <f t="shared" ca="1" si="18"/>
        <v>1</v>
      </c>
      <c r="K131" s="43">
        <v>3.06035995483</v>
      </c>
      <c r="L131">
        <v>3.1538772583000001</v>
      </c>
      <c r="N131" s="47" t="str">
        <f t="shared" ca="1" si="19"/>
        <v>BD</v>
      </c>
      <c r="O131" s="43"/>
      <c r="AA131" s="47" t="str">
        <f t="shared" ca="1" si="20"/>
        <v>A</v>
      </c>
    </row>
    <row r="132" spans="3:27" x14ac:dyDescent="0.25">
      <c r="C132">
        <v>81</v>
      </c>
      <c r="D132" s="38">
        <f t="shared" si="22"/>
        <v>30</v>
      </c>
      <c r="F132" s="18">
        <f t="array" aca="1" ref="F132" ca="1">INDIRECT(ADDRESS(D132,MATCH("Die "&amp;C132,INDIRECT("A"&amp;D132+1&amp;":J"&amp;D132+1,TRUE),4),TRUE))</f>
        <v>69.133117675799994</v>
      </c>
      <c r="G132" s="18">
        <f t="array" aca="1" ref="G132" ca="1">INDIRECT(ADDRESS(D132+2,MATCH("Die "&amp;C132,INDIRECT("A"&amp;D132+1&amp;":J"&amp;D132+1,TRUE),4),TRUE))</f>
        <v>68.430137634299996</v>
      </c>
      <c r="H132">
        <f t="shared" ca="1" si="16"/>
        <v>1</v>
      </c>
      <c r="I132">
        <f t="shared" ca="1" si="17"/>
        <v>1</v>
      </c>
      <c r="J132">
        <f t="shared" ca="1" si="18"/>
        <v>1</v>
      </c>
      <c r="K132" s="43">
        <v>3.0680227279699999</v>
      </c>
      <c r="L132">
        <v>3.13138961792</v>
      </c>
      <c r="N132" s="47" t="str">
        <f t="shared" ca="1" si="19"/>
        <v>BD</v>
      </c>
      <c r="O132" s="43"/>
      <c r="AA132" s="47" t="str">
        <f t="shared" ca="1" si="20"/>
        <v>A</v>
      </c>
    </row>
    <row r="133" spans="3:27" x14ac:dyDescent="0.25">
      <c r="C133" s="20">
        <v>82</v>
      </c>
      <c r="D133" s="44">
        <f t="shared" si="22"/>
        <v>30</v>
      </c>
      <c r="E133" s="20"/>
      <c r="F133" s="18">
        <f t="array" aca="1" ref="F133" ca="1">INDIRECT(ADDRESS(D133,MATCH("Die "&amp;C133,INDIRECT("A"&amp;D133+1&amp;":J"&amp;D133+1,TRUE),4),TRUE))</f>
        <v>67.198562622099999</v>
      </c>
      <c r="G133" s="18">
        <f t="array" aca="1" ref="G133" ca="1">INDIRECT(ADDRESS(D133+2,MATCH("Die "&amp;C133,INDIRECT("A"&amp;D133+1&amp;":J"&amp;D133+1,TRUE),4),TRUE))</f>
        <v>65.000823974599996</v>
      </c>
      <c r="H133">
        <f t="shared" ca="1" si="16"/>
        <v>1</v>
      </c>
      <c r="I133">
        <f t="shared" ca="1" si="17"/>
        <v>1</v>
      </c>
      <c r="J133">
        <f t="shared" ca="1" si="18"/>
        <v>1</v>
      </c>
      <c r="K133" s="43">
        <v>3.3734965324399999</v>
      </c>
      <c r="L133">
        <v>3.2748413085900001</v>
      </c>
      <c r="N133" s="47" t="str">
        <f t="shared" ca="1" si="19"/>
        <v>BD</v>
      </c>
      <c r="O133" s="43"/>
      <c r="AA133" s="47" t="str">
        <f t="shared" ca="1" si="20"/>
        <v>A</v>
      </c>
    </row>
    <row r="134" spans="3:27" x14ac:dyDescent="0.25">
      <c r="C134">
        <v>83</v>
      </c>
      <c r="D134" s="38">
        <v>33</v>
      </c>
      <c r="F134" s="18">
        <f t="array" aca="1" ref="F134" ca="1">INDIRECT(ADDRESS(D134,MATCH("Die "&amp;C134,INDIRECT("A"&amp;D134+1&amp;":J"&amp;D134+1,TRUE),4),TRUE))</f>
        <v>66.752052307100001</v>
      </c>
      <c r="G134" s="18">
        <f t="array" aca="1" ref="G134" ca="1">INDIRECT(ADDRESS(D134+2,MATCH("Die "&amp;C134,INDIRECT("A"&amp;D134+1&amp;":J"&amp;D134+1,TRUE),4),TRUE))</f>
        <v>65.5478973389</v>
      </c>
      <c r="H134">
        <f t="shared" ca="1" si="16"/>
        <v>1</v>
      </c>
      <c r="I134">
        <f t="shared" ca="1" si="17"/>
        <v>1</v>
      </c>
      <c r="J134">
        <f t="shared" ca="1" si="18"/>
        <v>1</v>
      </c>
      <c r="K134" s="43">
        <v>3.3393454551700001</v>
      </c>
      <c r="L134">
        <v>3.4485936164900002</v>
      </c>
      <c r="N134" s="47" t="str">
        <f t="shared" ca="1" si="19"/>
        <v>BD</v>
      </c>
      <c r="O134" s="43"/>
      <c r="AA134" s="47" t="str">
        <f t="shared" ca="1" si="20"/>
        <v>A</v>
      </c>
    </row>
    <row r="135" spans="3:27" x14ac:dyDescent="0.25">
      <c r="C135">
        <v>84</v>
      </c>
      <c r="D135" s="38">
        <f>IF(D134=D133,D134,D133+3)</f>
        <v>33</v>
      </c>
      <c r="F135" s="18">
        <f t="array" aca="1" ref="F135" ca="1">INDIRECT(ADDRESS(D135,MATCH("Die "&amp;C135,INDIRECT("A"&amp;D135+1&amp;":J"&amp;D135+1,TRUE),4),TRUE))</f>
        <v>59.314323425300003</v>
      </c>
      <c r="G135" s="18">
        <f t="array" aca="1" ref="G135" ca="1">INDIRECT(ADDRESS(D135+2,MATCH("Die "&amp;C135,INDIRECT("A"&amp;D135+1&amp;":J"&amp;D135+1,TRUE),4),TRUE))</f>
        <v>34.101844787600001</v>
      </c>
      <c r="H135">
        <f t="shared" ca="1" si="16"/>
        <v>1</v>
      </c>
      <c r="I135">
        <f t="shared" ca="1" si="17"/>
        <v>0</v>
      </c>
      <c r="J135">
        <f t="shared" ca="1" si="18"/>
        <v>0</v>
      </c>
      <c r="K135" s="43">
        <v>3.0584168434099999</v>
      </c>
      <c r="L135">
        <v>3.1314325332599999</v>
      </c>
      <c r="N135" s="47" t="str">
        <f t="shared" ca="1" si="19"/>
        <v>UD</v>
      </c>
      <c r="O135" s="43"/>
      <c r="AA135" s="47" t="str">
        <f t="shared" ca="1" si="20"/>
        <v>B</v>
      </c>
    </row>
    <row r="136" spans="3:27" x14ac:dyDescent="0.25">
      <c r="C136">
        <v>85</v>
      </c>
      <c r="D136" s="38">
        <f>IF(D135=D134,D135,D134+3)</f>
        <v>33</v>
      </c>
      <c r="F136" s="18">
        <f t="array" aca="1" ref="F136" ca="1">INDIRECT(ADDRESS(D136,MATCH("Die "&amp;C136,INDIRECT("A"&amp;D136+1&amp;":J"&amp;D136+1,TRUE),4),TRUE))</f>
        <v>0.84712505340599997</v>
      </c>
      <c r="G136" s="18">
        <f t="array" aca="1" ref="G136" ca="1">INDIRECT(ADDRESS(D136+2,MATCH("Die "&amp;C136,INDIRECT("A"&amp;D136+1&amp;":J"&amp;D136+1,TRUE),4),TRUE))</f>
        <v>68.080184936500004</v>
      </c>
      <c r="H136">
        <f t="shared" ca="1" si="16"/>
        <v>0</v>
      </c>
      <c r="I136">
        <f t="shared" ca="1" si="17"/>
        <v>1</v>
      </c>
      <c r="J136">
        <f t="shared" ca="1" si="18"/>
        <v>0</v>
      </c>
      <c r="K136" s="43">
        <v>2.8850102424599999</v>
      </c>
      <c r="L136">
        <v>3.27102899551</v>
      </c>
      <c r="N136" s="47" t="str">
        <f t="shared" ca="1" si="19"/>
        <v>UD</v>
      </c>
      <c r="O136" s="43"/>
      <c r="AA136" s="47" t="str">
        <f t="shared" ca="1" si="20"/>
        <v>B</v>
      </c>
    </row>
    <row r="137" spans="3:27" x14ac:dyDescent="0.25">
      <c r="C137">
        <v>86</v>
      </c>
      <c r="D137" s="38">
        <f>IF(D136=D135,D136,D135+3)</f>
        <v>33</v>
      </c>
      <c r="F137" s="18">
        <f t="array" aca="1" ref="F137" ca="1">INDIRECT(ADDRESS(D137,MATCH("Die "&amp;C137,INDIRECT("A"&amp;D137+1&amp;":J"&amp;D137+1,TRUE),4),TRUE))</f>
        <v>68.167068481399994</v>
      </c>
      <c r="G137" s="18">
        <f t="array" aca="1" ref="G137" ca="1">INDIRECT(ADDRESS(D137+2,MATCH("Die "&amp;C137,INDIRECT("A"&amp;D137+1&amp;":J"&amp;D137+1,TRUE),4),TRUE))</f>
        <v>68.932128906200006</v>
      </c>
      <c r="H137">
        <f t="shared" ca="1" si="16"/>
        <v>1</v>
      </c>
      <c r="I137">
        <f t="shared" ca="1" si="17"/>
        <v>1</v>
      </c>
      <c r="J137">
        <f t="shared" ca="1" si="18"/>
        <v>1</v>
      </c>
      <c r="K137" s="43">
        <v>3.11069488525</v>
      </c>
      <c r="L137">
        <v>3.1180095672600001</v>
      </c>
      <c r="N137" s="47" t="str">
        <f t="shared" ca="1" si="19"/>
        <v>BD</v>
      </c>
      <c r="O137" s="43"/>
      <c r="AA137" s="47" t="str">
        <f t="shared" ca="1" si="20"/>
        <v>A</v>
      </c>
    </row>
    <row r="138" spans="3:27" x14ac:dyDescent="0.25">
      <c r="C138">
        <v>87</v>
      </c>
      <c r="D138" s="38">
        <f>IF(D137=D136,D137,D136+3)</f>
        <v>33</v>
      </c>
      <c r="F138" s="18">
        <f t="array" aca="1" ref="F138" ca="1">INDIRECT(ADDRESS(D138,MATCH("Die "&amp;C138,INDIRECT("A"&amp;D138+1&amp;":J"&amp;D138+1,TRUE),4),TRUE))</f>
        <v>5.5122375488299999E-2</v>
      </c>
      <c r="G138" s="18">
        <f t="array" aca="1" ref="G138" ca="1">INDIRECT(ADDRESS(D138+2,MATCH("Die "&amp;C138,INDIRECT("A"&amp;D138+1&amp;":J"&amp;D138+1,TRUE),4),TRUE))</f>
        <v>67.213180542000003</v>
      </c>
      <c r="H138">
        <f t="shared" ca="1" si="16"/>
        <v>0</v>
      </c>
      <c r="I138">
        <f t="shared" ca="1" si="17"/>
        <v>1</v>
      </c>
      <c r="J138">
        <f t="shared" ca="1" si="18"/>
        <v>0</v>
      </c>
      <c r="K138" s="43">
        <v>2.6477718353299999</v>
      </c>
      <c r="L138">
        <v>3.2900857925400002</v>
      </c>
      <c r="N138" s="47" t="str">
        <f t="shared" ca="1" si="19"/>
        <v>UD</v>
      </c>
      <c r="O138" s="43"/>
      <c r="AA138" s="47" t="str">
        <f t="shared" ca="1" si="20"/>
        <v>B</v>
      </c>
    </row>
    <row r="139" spans="3:27" x14ac:dyDescent="0.25">
      <c r="C139" s="20">
        <v>88</v>
      </c>
      <c r="D139" s="44">
        <f>IF(D138=D137,D138,D137+3)</f>
        <v>33</v>
      </c>
      <c r="E139" s="20"/>
      <c r="F139" s="18">
        <f t="array" aca="1" ref="F139" ca="1">INDIRECT(ADDRESS(D139,MATCH("Die "&amp;C139,INDIRECT("A"&amp;D139+1&amp;":J"&amp;D139+1,TRUE),4),TRUE))</f>
        <v>0.19428730011000001</v>
      </c>
      <c r="G139" s="18">
        <f t="array" aca="1" ref="G139" ca="1">INDIRECT(ADDRESS(D139+2,MATCH("Die "&amp;C139,INDIRECT("A"&amp;D139+1&amp;":J"&amp;D139+1,TRUE),4),TRUE))</f>
        <v>65.398262023900003</v>
      </c>
      <c r="H139" s="20">
        <f t="shared" ca="1" si="16"/>
        <v>0</v>
      </c>
      <c r="I139" s="20">
        <f t="shared" ca="1" si="17"/>
        <v>1</v>
      </c>
      <c r="J139" s="20">
        <f t="shared" ca="1" si="18"/>
        <v>0</v>
      </c>
      <c r="K139" s="43">
        <v>2.8346586227400001</v>
      </c>
      <c r="L139">
        <v>3.6252999305700002</v>
      </c>
      <c r="N139" s="47" t="str">
        <f t="shared" ca="1" si="19"/>
        <v>UD</v>
      </c>
      <c r="O139" s="43"/>
      <c r="AA139" s="47" t="str">
        <f t="shared" ca="1" si="20"/>
        <v>B</v>
      </c>
    </row>
    <row r="140" spans="3:27" x14ac:dyDescent="0.25">
      <c r="H140">
        <f ca="1">SUM(H52:H139)*100/88</f>
        <v>77.272727272727266</v>
      </c>
      <c r="I140">
        <f ca="1">SUM(I52:I139)*100/88</f>
        <v>77.272727272727266</v>
      </c>
      <c r="J140">
        <f ca="1">SUM(J52:J139)*100/88</f>
        <v>59.090909090909093</v>
      </c>
    </row>
  </sheetData>
  <mergeCells count="105">
    <mergeCell ref="A44:B44"/>
    <mergeCell ref="X24:X26"/>
    <mergeCell ref="R27:R29"/>
    <mergeCell ref="X33:X35"/>
    <mergeCell ref="A43:B43"/>
    <mergeCell ref="R30:R32"/>
    <mergeCell ref="V27:V29"/>
    <mergeCell ref="U24:U26"/>
    <mergeCell ref="S33:S35"/>
    <mergeCell ref="U33:U35"/>
    <mergeCell ref="W27:W29"/>
    <mergeCell ref="D36:G37"/>
    <mergeCell ref="K15:K26"/>
    <mergeCell ref="P15:P17"/>
    <mergeCell ref="V21:V23"/>
    <mergeCell ref="P24:P26"/>
    <mergeCell ref="O18:O20"/>
    <mergeCell ref="Q18:Q20"/>
    <mergeCell ref="S18:S20"/>
    <mergeCell ref="U30:U32"/>
    <mergeCell ref="W30:W32"/>
    <mergeCell ref="R24:R26"/>
    <mergeCell ref="V24:V26"/>
    <mergeCell ref="B1:F1"/>
    <mergeCell ref="R37:U38"/>
    <mergeCell ref="T24:T26"/>
    <mergeCell ref="O6:O8"/>
    <mergeCell ref="T18:T20"/>
    <mergeCell ref="V18:V20"/>
    <mergeCell ref="Q12:Q14"/>
    <mergeCell ref="S12:S14"/>
    <mergeCell ref="Q21:Q23"/>
    <mergeCell ref="U6:U8"/>
    <mergeCell ref="S21:S23"/>
    <mergeCell ref="U15:U17"/>
    <mergeCell ref="R6:R8"/>
    <mergeCell ref="P9:P11"/>
    <mergeCell ref="P27:P29"/>
    <mergeCell ref="R36:U36"/>
    <mergeCell ref="R9:R11"/>
    <mergeCell ref="R5:U5"/>
    <mergeCell ref="V12:V14"/>
    <mergeCell ref="U9:U11"/>
    <mergeCell ref="F4:H4"/>
    <mergeCell ref="D3:H3"/>
    <mergeCell ref="X6:X8"/>
    <mergeCell ref="T9:T11"/>
    <mergeCell ref="V9:V11"/>
    <mergeCell ref="P21:P23"/>
    <mergeCell ref="R15:R17"/>
    <mergeCell ref="V30:V32"/>
    <mergeCell ref="U18:U20"/>
    <mergeCell ref="W18:W20"/>
    <mergeCell ref="O27:O29"/>
    <mergeCell ref="Q27:Q29"/>
    <mergeCell ref="T15:T17"/>
    <mergeCell ref="W15:W17"/>
    <mergeCell ref="X18:X20"/>
    <mergeCell ref="X12:X14"/>
    <mergeCell ref="X21:X23"/>
    <mergeCell ref="W9:W11"/>
    <mergeCell ref="P18:P20"/>
    <mergeCell ref="R18:R20"/>
    <mergeCell ref="T27:T29"/>
    <mergeCell ref="T33:T35"/>
    <mergeCell ref="V33:V35"/>
    <mergeCell ref="X27:X29"/>
    <mergeCell ref="O15:O17"/>
    <mergeCell ref="W24:W26"/>
    <mergeCell ref="O24:O26"/>
    <mergeCell ref="Q24:Q26"/>
    <mergeCell ref="R33:R35"/>
    <mergeCell ref="P30:P32"/>
    <mergeCell ref="Y15:Y26"/>
    <mergeCell ref="T30:T32"/>
    <mergeCell ref="O33:O35"/>
    <mergeCell ref="D4:E4"/>
    <mergeCell ref="Q33:Q35"/>
    <mergeCell ref="S27:S29"/>
    <mergeCell ref="U27:U29"/>
    <mergeCell ref="R12:R14"/>
    <mergeCell ref="T12:T14"/>
    <mergeCell ref="R21:R23"/>
    <mergeCell ref="V6:V8"/>
    <mergeCell ref="T21:T23"/>
    <mergeCell ref="V15:V17"/>
    <mergeCell ref="X15:X17"/>
    <mergeCell ref="S6:S8"/>
    <mergeCell ref="Q9:Q11"/>
    <mergeCell ref="S9:S11"/>
    <mergeCell ref="U12:U14"/>
    <mergeCell ref="Q30:Q32"/>
    <mergeCell ref="W12:W14"/>
    <mergeCell ref="U21:U23"/>
    <mergeCell ref="S30:S32"/>
    <mergeCell ref="W21:W23"/>
    <mergeCell ref="N15:N26"/>
    <mergeCell ref="T6:T8"/>
    <mergeCell ref="O12:O14"/>
    <mergeCell ref="Q6:Q8"/>
    <mergeCell ref="O21:O23"/>
    <mergeCell ref="Q15:Q17"/>
    <mergeCell ref="S15:S17"/>
    <mergeCell ref="S24:S26"/>
    <mergeCell ref="P12:P14"/>
  </mergeCells>
  <conditionalFormatting sqref="A43:D43">
    <cfRule type="expression" dxfId="372" priority="1">
      <formula>ISBLANK($K$52)</formula>
    </cfRule>
  </conditionalFormatting>
  <conditionalFormatting sqref="A44:D44">
    <cfRule type="expression" dxfId="371" priority="2">
      <formula>ISBLANK($L$52)</formula>
    </cfRule>
  </conditionalFormatting>
  <conditionalFormatting sqref="B32:I32 C6:H6 B9:I9 A12:J12 A15:J15 A18:J18 A21:J21 A24:J24 A27:J27 B30:I30 C33:H33">
    <cfRule type="cellIs" dxfId="370" priority="240" operator="between">
      <formula>0</formula>
      <formula>10</formula>
    </cfRule>
  </conditionalFormatting>
  <conditionalFormatting sqref="C6:H6 B9:I9 A12:J12 A15:J15 A18:J18 A21:J21 A24:J24 A27:J27 B30:I30 B32:I32 C33:H33">
    <cfRule type="cellIs" dxfId="369" priority="241" operator="between">
      <formula>10</formula>
      <formula>30</formula>
    </cfRule>
    <cfRule type="cellIs" dxfId="368" priority="242" operator="between">
      <formula>30</formula>
      <formula>100</formula>
    </cfRule>
  </conditionalFormatting>
  <conditionalFormatting sqref="C6:H6 C8:H8 B9:I9 B11:I11 A12:J12 A14:J15 A17:J18 A20:J21 A23:J24 A26:J27 A29:J29 B30:I30 B32:I32 C33:H33 C35:H35">
    <cfRule type="cellIs" dxfId="367" priority="7" operator="greaterThanOrEqual">
      <formula>$E$48</formula>
    </cfRule>
    <cfRule type="containsText" dxfId="366" priority="230" operator="containsText" text="open">
      <formula>NOT(ISERROR(SEARCH("open",A6)))</formula>
    </cfRule>
    <cfRule type="containsText" dxfId="365" priority="233" operator="containsText" text="short">
      <formula>NOT(ISERROR(SEARCH("short",A6)))</formula>
    </cfRule>
  </conditionalFormatting>
  <conditionalFormatting sqref="C8:H8 B11:I11 A14:J14 A17:J17 A20:J20 A23:J23 A26:J26 A29:J29 B32:I32 C35:H35">
    <cfRule type="cellIs" dxfId="364" priority="234" operator="between">
      <formula>0</formula>
      <formula>10</formula>
    </cfRule>
    <cfRule type="cellIs" dxfId="363" priority="235" operator="between">
      <formula>10</formula>
      <formula>30</formula>
    </cfRule>
    <cfRule type="cellIs" dxfId="362" priority="236" operator="between">
      <formula>30</formula>
      <formula>100</formula>
    </cfRule>
  </conditionalFormatting>
  <conditionalFormatting sqref="F52:F139">
    <cfRule type="expression" dxfId="361" priority="8">
      <formula>$B$55=QUOTIENT($F52,1)</formula>
    </cfRule>
  </conditionalFormatting>
  <conditionalFormatting sqref="G52:G139">
    <cfRule type="expression" dxfId="360" priority="9">
      <formula>$B$55=QUOTIENT($G52,1)</formula>
    </cfRule>
  </conditionalFormatting>
  <conditionalFormatting sqref="O12">
    <cfRule type="expression" dxfId="359" priority="166">
      <formula>$N$66="BD"</formula>
    </cfRule>
    <cfRule type="expression" dxfId="358" priority="167">
      <formula>$N$66="UD"</formula>
    </cfRule>
  </conditionalFormatting>
  <conditionalFormatting sqref="O15">
    <cfRule type="expression" dxfId="357" priority="138">
      <formula>$N$76="BD"</formula>
    </cfRule>
    <cfRule type="expression" dxfId="356" priority="139">
      <formula>$N$76="UD"</formula>
    </cfRule>
  </conditionalFormatting>
  <conditionalFormatting sqref="O18">
    <cfRule type="expression" dxfId="355" priority="117">
      <formula>$N$86="UD"</formula>
    </cfRule>
    <cfRule type="expression" dxfId="354" priority="116">
      <formula>$N$86="BD"</formula>
    </cfRule>
  </conditionalFormatting>
  <conditionalFormatting sqref="O21">
    <cfRule type="expression" dxfId="353" priority="96">
      <formula>$N$96="BD"</formula>
    </cfRule>
    <cfRule type="expression" dxfId="352" priority="97">
      <formula>$N$96="UD"</formula>
    </cfRule>
  </conditionalFormatting>
  <conditionalFormatting sqref="O24">
    <cfRule type="expression" dxfId="351" priority="76">
      <formula>$N$106="BD"</formula>
    </cfRule>
    <cfRule type="expression" dxfId="350" priority="77">
      <formula>$N$106="UD"</formula>
    </cfRule>
  </conditionalFormatting>
  <conditionalFormatting sqref="O27">
    <cfRule type="expression" dxfId="349" priority="57">
      <formula>$N$116="UD"</formula>
    </cfRule>
    <cfRule type="expression" dxfId="348" priority="56">
      <formula>$N$116="BD"</formula>
    </cfRule>
  </conditionalFormatting>
  <conditionalFormatting sqref="P9">
    <cfRule type="expression" dxfId="347" priority="184">
      <formula>$N$58="UD"</formula>
    </cfRule>
    <cfRule type="expression" dxfId="346" priority="183">
      <formula>$N$58="BD"</formula>
    </cfRule>
  </conditionalFormatting>
  <conditionalFormatting sqref="P12">
    <cfRule type="expression" dxfId="345" priority="164">
      <formula>$N$67="BD"</formula>
    </cfRule>
    <cfRule type="expression" dxfId="344" priority="165">
      <formula>$N$67="UD"</formula>
    </cfRule>
  </conditionalFormatting>
  <conditionalFormatting sqref="P15">
    <cfRule type="expression" dxfId="343" priority="136">
      <formula>$N$77="BD"</formula>
    </cfRule>
    <cfRule type="expression" dxfId="342" priority="137">
      <formula>$N$77="UD"</formula>
    </cfRule>
  </conditionalFormatting>
  <conditionalFormatting sqref="P18">
    <cfRule type="expression" dxfId="341" priority="114">
      <formula>$N$87="BD"</formula>
    </cfRule>
    <cfRule type="expression" dxfId="340" priority="115">
      <formula>$N$87="UD"</formula>
    </cfRule>
  </conditionalFormatting>
  <conditionalFormatting sqref="P21">
    <cfRule type="expression" dxfId="339" priority="95">
      <formula>$N$97="UD"</formula>
    </cfRule>
    <cfRule type="expression" dxfId="338" priority="94">
      <formula>$N$97="BD"</formula>
    </cfRule>
  </conditionalFormatting>
  <conditionalFormatting sqref="P24">
    <cfRule type="expression" dxfId="337" priority="74">
      <formula>$N$107="BD"</formula>
    </cfRule>
    <cfRule type="expression" dxfId="336" priority="75">
      <formula>$N$107="UD"</formula>
    </cfRule>
  </conditionalFormatting>
  <conditionalFormatting sqref="P27">
    <cfRule type="expression" dxfId="335" priority="55">
      <formula>$N$117="UD"</formula>
    </cfRule>
    <cfRule type="expression" dxfId="334" priority="54">
      <formula>$N$117="BD"</formula>
    </cfRule>
  </conditionalFormatting>
  <conditionalFormatting sqref="P30">
    <cfRule type="expression" dxfId="333" priority="36">
      <formula>$N$126="BD"</formula>
    </cfRule>
    <cfRule type="expression" dxfId="332" priority="37">
      <formula>$N$126="UD"</formula>
    </cfRule>
  </conditionalFormatting>
  <conditionalFormatting sqref="Q6">
    <cfRule type="expression" dxfId="331" priority="206">
      <formula>$N$52="BD"</formula>
    </cfRule>
    <cfRule type="expression" dxfId="330" priority="207">
      <formula>$N$52="UD"</formula>
    </cfRule>
  </conditionalFormatting>
  <conditionalFormatting sqref="Q9">
    <cfRule type="expression" dxfId="329" priority="182">
      <formula>$N$59="UD"</formula>
    </cfRule>
    <cfRule type="expression" dxfId="328" priority="181">
      <formula>$N$59="BD"</formula>
    </cfRule>
  </conditionalFormatting>
  <conditionalFormatting sqref="Q12">
    <cfRule type="expression" dxfId="327" priority="163">
      <formula>$N$68="UD"</formula>
    </cfRule>
    <cfRule type="expression" dxfId="326" priority="162">
      <formula>$N$68="BD"</formula>
    </cfRule>
    <cfRule type="expression" dxfId="325" priority="161">
      <formula>$N$68="UD"</formula>
    </cfRule>
    <cfRule type="expression" dxfId="324" priority="160">
      <formula>$N$68="BD"</formula>
    </cfRule>
  </conditionalFormatting>
  <conditionalFormatting sqref="Q15">
    <cfRule type="expression" dxfId="323" priority="134">
      <formula>$N$78="BD"</formula>
    </cfRule>
    <cfRule type="expression" dxfId="322" priority="135">
      <formula>$N$78="UD"</formula>
    </cfRule>
  </conditionalFormatting>
  <conditionalFormatting sqref="Q18">
    <cfRule type="expression" dxfId="321" priority="112">
      <formula>$N$88="BD"</formula>
    </cfRule>
    <cfRule type="expression" dxfId="320" priority="113">
      <formula>$N$88="UD"</formula>
    </cfRule>
  </conditionalFormatting>
  <conditionalFormatting sqref="Q21">
    <cfRule type="expression" dxfId="319" priority="93">
      <formula>$N$98="UD"</formula>
    </cfRule>
    <cfRule type="expression" dxfId="318" priority="92">
      <formula>$N$98="BD"</formula>
    </cfRule>
  </conditionalFormatting>
  <conditionalFormatting sqref="Q24">
    <cfRule type="expression" dxfId="317" priority="73">
      <formula>$N$108="UD"</formula>
    </cfRule>
    <cfRule type="expression" dxfId="316" priority="72">
      <formula>$N$108="BD"</formula>
    </cfRule>
  </conditionalFormatting>
  <conditionalFormatting sqref="Q27">
    <cfRule type="expression" dxfId="315" priority="52">
      <formula>$N$118="BD"</formula>
    </cfRule>
    <cfRule type="expression" dxfId="314" priority="53">
      <formula>$N$118="UD"</formula>
    </cfRule>
  </conditionalFormatting>
  <conditionalFormatting sqref="Q30">
    <cfRule type="expression" dxfId="313" priority="35">
      <formula>$N$127="UD"</formula>
    </cfRule>
    <cfRule type="expression" dxfId="312" priority="34">
      <formula>$N$127="BD"</formula>
    </cfRule>
  </conditionalFormatting>
  <conditionalFormatting sqref="Q33">
    <cfRule type="expression" dxfId="311" priority="20">
      <formula>$N$134="BD"</formula>
    </cfRule>
    <cfRule type="expression" dxfId="310" priority="21">
      <formula>$N$134="UD"</formula>
    </cfRule>
  </conditionalFormatting>
  <conditionalFormatting sqref="R6">
    <cfRule type="expression" dxfId="309" priority="193">
      <formula>$N$53="BD"</formula>
    </cfRule>
    <cfRule type="expression" dxfId="308" priority="194">
      <formula>$N$53="UD"</formula>
    </cfRule>
  </conditionalFormatting>
  <conditionalFormatting sqref="R9">
    <cfRule type="expression" dxfId="307" priority="180">
      <formula>$N$60="UD"</formula>
    </cfRule>
    <cfRule type="expression" dxfId="306" priority="179">
      <formula>$N$60="BD"</formula>
    </cfRule>
  </conditionalFormatting>
  <conditionalFormatting sqref="R12">
    <cfRule type="expression" dxfId="305" priority="159">
      <formula>$N$69="UD"</formula>
    </cfRule>
    <cfRule type="expression" dxfId="304" priority="158">
      <formula>$N$69="BD"</formula>
    </cfRule>
  </conditionalFormatting>
  <conditionalFormatting sqref="R15">
    <cfRule type="expression" dxfId="303" priority="130">
      <formula>$N$79="BD"</formula>
    </cfRule>
    <cfRule type="expression" dxfId="302" priority="131">
      <formula>$N$79="UD"</formula>
    </cfRule>
  </conditionalFormatting>
  <conditionalFormatting sqref="R18">
    <cfRule type="expression" dxfId="301" priority="111">
      <formula>$N$89="UD"</formula>
    </cfRule>
    <cfRule type="expression" dxfId="300" priority="110">
      <formula>$N$89="BD"</formula>
    </cfRule>
  </conditionalFormatting>
  <conditionalFormatting sqref="R21">
    <cfRule type="expression" dxfId="299" priority="91">
      <formula>$N$99="UD"</formula>
    </cfRule>
    <cfRule type="expression" dxfId="298" priority="90">
      <formula>$N$99="BD"</formula>
    </cfRule>
  </conditionalFormatting>
  <conditionalFormatting sqref="R24">
    <cfRule type="expression" dxfId="297" priority="70">
      <formula>$N$109="BD"</formula>
    </cfRule>
    <cfRule type="expression" dxfId="296" priority="71">
      <formula>$N$109="UD"</formula>
    </cfRule>
  </conditionalFormatting>
  <conditionalFormatting sqref="R27">
    <cfRule type="expression" dxfId="295" priority="51">
      <formula>$N$119="UD"</formula>
    </cfRule>
    <cfRule type="expression" dxfId="294" priority="50">
      <formula>$N$119="BD"</formula>
    </cfRule>
  </conditionalFormatting>
  <conditionalFormatting sqref="R30">
    <cfRule type="expression" dxfId="293" priority="32">
      <formula>$N$128="BD"</formula>
    </cfRule>
    <cfRule type="expression" dxfId="292" priority="33">
      <formula>$N$128="UD"</formula>
    </cfRule>
  </conditionalFormatting>
  <conditionalFormatting sqref="R33">
    <cfRule type="expression" dxfId="291" priority="18">
      <formula>$N$135="BD"</formula>
    </cfRule>
    <cfRule type="expression" dxfId="290" priority="19">
      <formula>$N$135="UD"</formula>
    </cfRule>
  </conditionalFormatting>
  <conditionalFormatting sqref="S6">
    <cfRule type="expression" dxfId="289" priority="192">
      <formula>$N$54="UD"</formula>
    </cfRule>
    <cfRule type="expression" dxfId="288" priority="191">
      <formula>$N$54="BD"</formula>
    </cfRule>
  </conditionalFormatting>
  <conditionalFormatting sqref="S9">
    <cfRule type="expression" dxfId="287" priority="178">
      <formula>$N$61="UD"</formula>
    </cfRule>
    <cfRule type="expression" dxfId="286" priority="177">
      <formula>$N$61="BD"</formula>
    </cfRule>
  </conditionalFormatting>
  <conditionalFormatting sqref="S12">
    <cfRule type="expression" dxfId="285" priority="157">
      <formula>$N$70="UD"</formula>
    </cfRule>
    <cfRule type="expression" dxfId="284" priority="156">
      <formula>$N$70="BD"</formula>
    </cfRule>
  </conditionalFormatting>
  <conditionalFormatting sqref="S15">
    <cfRule type="expression" dxfId="283" priority="128">
      <formula>$N$80="BD"</formula>
    </cfRule>
    <cfRule type="expression" dxfId="282" priority="129">
      <formula>$N$80="UD"</formula>
    </cfRule>
  </conditionalFormatting>
  <conditionalFormatting sqref="S18">
    <cfRule type="expression" dxfId="281" priority="108">
      <formula>$N$90="BD"</formula>
    </cfRule>
    <cfRule type="expression" dxfId="280" priority="109">
      <formula>$N$90="UD"</formula>
    </cfRule>
  </conditionalFormatting>
  <conditionalFormatting sqref="S21">
    <cfRule type="expression" dxfId="279" priority="89">
      <formula>$N$100="UD"</formula>
    </cfRule>
    <cfRule type="expression" dxfId="278" priority="88">
      <formula>$N$100="BD"</formula>
    </cfRule>
  </conditionalFormatting>
  <conditionalFormatting sqref="S24">
    <cfRule type="expression" dxfId="277" priority="69">
      <formula>$N$110="UD"</formula>
    </cfRule>
    <cfRule type="expression" dxfId="276" priority="68">
      <formula>$N$110="BD"</formula>
    </cfRule>
  </conditionalFormatting>
  <conditionalFormatting sqref="S27">
    <cfRule type="expression" dxfId="275" priority="49">
      <formula>$N$120="UD"</formula>
    </cfRule>
    <cfRule type="expression" dxfId="274" priority="48">
      <formula>$N$120="BD"</formula>
    </cfRule>
  </conditionalFormatting>
  <conditionalFormatting sqref="S30">
    <cfRule type="expression" dxfId="273" priority="30">
      <formula>$N$129="BD"</formula>
    </cfRule>
    <cfRule type="expression" dxfId="272" priority="31">
      <formula>$N$129="UD"</formula>
    </cfRule>
  </conditionalFormatting>
  <conditionalFormatting sqref="S33">
    <cfRule type="expression" dxfId="271" priority="17">
      <formula>$N$136="UD"</formula>
    </cfRule>
    <cfRule type="expression" dxfId="270" priority="16">
      <formula>$N$136="BD"</formula>
    </cfRule>
  </conditionalFormatting>
  <conditionalFormatting sqref="T6">
    <cfRule type="expression" dxfId="269" priority="189">
      <formula>$N$55="BD"</formula>
    </cfRule>
    <cfRule type="expression" dxfId="268" priority="190">
      <formula>$N$55="UD"</formula>
    </cfRule>
  </conditionalFormatting>
  <conditionalFormatting sqref="T9">
    <cfRule type="expression" dxfId="267" priority="175">
      <formula>$N$62="UD"</formula>
    </cfRule>
    <cfRule type="expression" dxfId="266" priority="174">
      <formula>$N$62="BD"</formula>
    </cfRule>
  </conditionalFormatting>
  <conditionalFormatting sqref="T12">
    <cfRule type="expression" dxfId="265" priority="155">
      <formula>$N$71="UD"</formula>
    </cfRule>
    <cfRule type="expression" dxfId="264" priority="154">
      <formula>$N$71="BD"</formula>
    </cfRule>
  </conditionalFormatting>
  <conditionalFormatting sqref="T15">
    <cfRule type="expression" dxfId="263" priority="126">
      <formula>$N$81="BD"</formula>
    </cfRule>
    <cfRule type="expression" dxfId="262" priority="127">
      <formula>$N$81="UD"</formula>
    </cfRule>
  </conditionalFormatting>
  <conditionalFormatting sqref="T18">
    <cfRule type="expression" dxfId="261" priority="107">
      <formula>$N$91="UD"</formula>
    </cfRule>
    <cfRule type="expression" dxfId="260" priority="106">
      <formula>$N$91="BD"</formula>
    </cfRule>
  </conditionalFormatting>
  <conditionalFormatting sqref="T21">
    <cfRule type="expression" dxfId="259" priority="86">
      <formula>$N$101="BD"</formula>
    </cfRule>
    <cfRule type="expression" dxfId="258" priority="87">
      <formula>$N$101="UD"</formula>
    </cfRule>
  </conditionalFormatting>
  <conditionalFormatting sqref="T24">
    <cfRule type="expression" dxfId="257" priority="66">
      <formula>$N$111="BD"</formula>
    </cfRule>
    <cfRule type="expression" dxfId="256" priority="67">
      <formula>$N$111="UD"</formula>
    </cfRule>
  </conditionalFormatting>
  <conditionalFormatting sqref="T27">
    <cfRule type="expression" dxfId="255" priority="47">
      <formula>$N$121="UD"</formula>
    </cfRule>
    <cfRule type="expression" dxfId="254" priority="46">
      <formula>$N$121="BD"</formula>
    </cfRule>
  </conditionalFormatting>
  <conditionalFormatting sqref="T30">
    <cfRule type="expression" dxfId="253" priority="28">
      <formula>$N$130="BD"</formula>
    </cfRule>
    <cfRule type="expression" dxfId="252" priority="29">
      <formula>$N$130="UD"</formula>
    </cfRule>
  </conditionalFormatting>
  <conditionalFormatting sqref="T33">
    <cfRule type="expression" dxfId="251" priority="14">
      <formula>$N$137="BD"</formula>
    </cfRule>
    <cfRule type="expression" dxfId="250" priority="15">
      <formula>$N$137="UD"</formula>
    </cfRule>
  </conditionalFormatting>
  <conditionalFormatting sqref="U6">
    <cfRule type="expression" dxfId="249" priority="188">
      <formula>$N$56="UD"</formula>
    </cfRule>
    <cfRule type="expression" dxfId="248" priority="187">
      <formula>$N$56="BD"</formula>
    </cfRule>
  </conditionalFormatting>
  <conditionalFormatting sqref="U9">
    <cfRule type="expression" dxfId="247" priority="173">
      <formula>$N$63="UD"</formula>
    </cfRule>
    <cfRule type="expression" dxfId="246" priority="172">
      <formula>$N$63="BD"</formula>
    </cfRule>
  </conditionalFormatting>
  <conditionalFormatting sqref="U12">
    <cfRule type="expression" dxfId="245" priority="147">
      <formula>$N$72="UD"</formula>
    </cfRule>
    <cfRule type="expression" dxfId="244" priority="146">
      <formula>$N$72="BD"</formula>
    </cfRule>
  </conditionalFormatting>
  <conditionalFormatting sqref="U15">
    <cfRule type="expression" dxfId="243" priority="125">
      <formula>$N$82="UD"</formula>
    </cfRule>
    <cfRule type="expression" dxfId="242" priority="124">
      <formula>$N$82="BD"</formula>
    </cfRule>
  </conditionalFormatting>
  <conditionalFormatting sqref="U18">
    <cfRule type="expression" dxfId="241" priority="105">
      <formula>$N$92="UD"</formula>
    </cfRule>
    <cfRule type="expression" dxfId="240" priority="104">
      <formula>$N$92="BD"</formula>
    </cfRule>
  </conditionalFormatting>
  <conditionalFormatting sqref="U21">
    <cfRule type="expression" dxfId="239" priority="85">
      <formula>$N$102="UD"</formula>
    </cfRule>
    <cfRule type="expression" dxfId="238" priority="84">
      <formula>$N$102="BD"</formula>
    </cfRule>
  </conditionalFormatting>
  <conditionalFormatting sqref="U24">
    <cfRule type="expression" dxfId="237" priority="65">
      <formula>$N$112="UD"</formula>
    </cfRule>
    <cfRule type="expression" dxfId="236" priority="64">
      <formula>$N$112="BD"</formula>
    </cfRule>
  </conditionalFormatting>
  <conditionalFormatting sqref="U27">
    <cfRule type="expression" dxfId="235" priority="45">
      <formula>$N$122="UD"</formula>
    </cfRule>
    <cfRule type="expression" dxfId="234" priority="44">
      <formula>$N$122="BD"</formula>
    </cfRule>
  </conditionalFormatting>
  <conditionalFormatting sqref="U30">
    <cfRule type="expression" dxfId="233" priority="26">
      <formula>$N$131="BD"</formula>
    </cfRule>
    <cfRule type="expression" dxfId="232" priority="27">
      <formula>$N$131="UD"</formula>
    </cfRule>
  </conditionalFormatting>
  <conditionalFormatting sqref="U33">
    <cfRule type="expression" dxfId="231" priority="13">
      <formula>$N$138="UD"</formula>
    </cfRule>
    <cfRule type="expression" dxfId="230" priority="12">
      <formula>$N$138="BD"</formula>
    </cfRule>
  </conditionalFormatting>
  <conditionalFormatting sqref="V6">
    <cfRule type="expression" dxfId="229" priority="186">
      <formula>$N$57="UD"</formula>
    </cfRule>
    <cfRule type="expression" dxfId="228" priority="185">
      <formula>$N$57="BD"</formula>
    </cfRule>
  </conditionalFormatting>
  <conditionalFormatting sqref="V9">
    <cfRule type="expression" dxfId="227" priority="170">
      <formula>$N$64="BD"</formula>
    </cfRule>
    <cfRule type="expression" dxfId="226" priority="171">
      <formula>$N$64="UD"</formula>
    </cfRule>
  </conditionalFormatting>
  <conditionalFormatting sqref="V12">
    <cfRule type="expression" dxfId="225" priority="144">
      <formula>$N$73="BD"</formula>
    </cfRule>
    <cfRule type="expression" dxfId="224" priority="145">
      <formula>$N$73="UD"</formula>
    </cfRule>
  </conditionalFormatting>
  <conditionalFormatting sqref="V15">
    <cfRule type="expression" dxfId="223" priority="122">
      <formula>$N$83="BD"</formula>
    </cfRule>
    <cfRule type="expression" dxfId="222" priority="123">
      <formula>$N$83="UD"</formula>
    </cfRule>
  </conditionalFormatting>
  <conditionalFormatting sqref="V18">
    <cfRule type="expression" dxfId="221" priority="103">
      <formula>$N$93="UD"</formula>
    </cfRule>
    <cfRule type="expression" dxfId="220" priority="102">
      <formula>$N$93="BD"</formula>
    </cfRule>
  </conditionalFormatting>
  <conditionalFormatting sqref="V21">
    <cfRule type="expression" dxfId="219" priority="82">
      <formula>$N$103="BD"</formula>
    </cfRule>
    <cfRule type="expression" dxfId="218" priority="83">
      <formula>$N$103="UD"</formula>
    </cfRule>
  </conditionalFormatting>
  <conditionalFormatting sqref="V24">
    <cfRule type="expression" dxfId="217" priority="63">
      <formula>$N$113="UD"</formula>
    </cfRule>
    <cfRule type="expression" dxfId="216" priority="62">
      <formula>$N$113="BD"</formula>
    </cfRule>
  </conditionalFormatting>
  <conditionalFormatting sqref="V27">
    <cfRule type="expression" dxfId="215" priority="43">
      <formula>$N$123="UD"</formula>
    </cfRule>
    <cfRule type="expression" dxfId="214" priority="42">
      <formula>$N$123="BD"</formula>
    </cfRule>
  </conditionalFormatting>
  <conditionalFormatting sqref="V30">
    <cfRule type="expression" dxfId="213" priority="24">
      <formula>$N$132="BD"</formula>
    </cfRule>
    <cfRule type="expression" dxfId="212" priority="25">
      <formula>$N$132="UD"</formula>
    </cfRule>
  </conditionalFormatting>
  <conditionalFormatting sqref="V33">
    <cfRule type="expression" dxfId="211" priority="10">
      <formula>$N$139="BD"</formula>
    </cfRule>
    <cfRule type="expression" dxfId="210" priority="11">
      <formula>$N$139="UD"</formula>
    </cfRule>
  </conditionalFormatting>
  <conditionalFormatting sqref="W9">
    <cfRule type="expression" dxfId="209" priority="168">
      <formula>$N$65="BD"</formula>
    </cfRule>
    <cfRule type="expression" dxfId="208" priority="169">
      <formula>$N$65="UD"</formula>
    </cfRule>
  </conditionalFormatting>
  <conditionalFormatting sqref="W12">
    <cfRule type="expression" dxfId="207" priority="142">
      <formula>$N$74="BD"</formula>
    </cfRule>
    <cfRule type="expression" dxfId="206" priority="143">
      <formula>$N$74="UD"</formula>
    </cfRule>
  </conditionalFormatting>
  <conditionalFormatting sqref="W15">
    <cfRule type="expression" dxfId="205" priority="120">
      <formula>$N$84="BD"</formula>
    </cfRule>
    <cfRule type="expression" dxfId="204" priority="121">
      <formula>$N$84="UD"</formula>
    </cfRule>
  </conditionalFormatting>
  <conditionalFormatting sqref="W18">
    <cfRule type="expression" dxfId="203" priority="101">
      <formula>$N$94="UD"</formula>
    </cfRule>
    <cfRule type="expression" dxfId="202" priority="100">
      <formula>$N$94="BD"</formula>
    </cfRule>
  </conditionalFormatting>
  <conditionalFormatting sqref="W21">
    <cfRule type="expression" dxfId="201" priority="80">
      <formula>$N$104="BD"</formula>
    </cfRule>
    <cfRule type="expression" dxfId="200" priority="81">
      <formula>$N$104="UD"</formula>
    </cfRule>
  </conditionalFormatting>
  <conditionalFormatting sqref="W24">
    <cfRule type="expression" dxfId="199" priority="61">
      <formula>$N$114="UD"</formula>
    </cfRule>
    <cfRule type="expression" dxfId="198" priority="60">
      <formula>$N$114="BD"</formula>
    </cfRule>
  </conditionalFormatting>
  <conditionalFormatting sqref="W27">
    <cfRule type="expression" dxfId="197" priority="41">
      <formula>$N$124="UD"</formula>
    </cfRule>
    <cfRule type="expression" dxfId="196" priority="40">
      <formula>$N$124="BD"</formula>
    </cfRule>
  </conditionalFormatting>
  <conditionalFormatting sqref="W30">
    <cfRule type="expression" dxfId="195" priority="23">
      <formula>$N$133="UD"</formula>
    </cfRule>
    <cfRule type="expression" dxfId="194" priority="22">
      <formula>$N$133="BD"</formula>
    </cfRule>
  </conditionalFormatting>
  <conditionalFormatting sqref="X12">
    <cfRule type="expression" dxfId="193" priority="140">
      <formula>$N$75="BD"</formula>
    </cfRule>
    <cfRule type="expression" dxfId="192" priority="141">
      <formula>$N$75="UD"</formula>
    </cfRule>
  </conditionalFormatting>
  <conditionalFormatting sqref="X15">
    <cfRule type="expression" dxfId="191" priority="118">
      <formula>$N$85="BD"</formula>
    </cfRule>
    <cfRule type="expression" dxfId="190" priority="119">
      <formula>$N$85="UD"</formula>
    </cfRule>
  </conditionalFormatting>
  <conditionalFormatting sqref="X18">
    <cfRule type="expression" dxfId="189" priority="99">
      <formula>$N$95="UD"</formula>
    </cfRule>
    <cfRule type="expression" dxfId="188" priority="98">
      <formula>$N$95="BD"</formula>
    </cfRule>
  </conditionalFormatting>
  <conditionalFormatting sqref="X21">
    <cfRule type="expression" dxfId="187" priority="78">
      <formula>$N$105="BD"</formula>
    </cfRule>
    <cfRule type="expression" dxfId="186" priority="79">
      <formula>$N$105="UD"</formula>
    </cfRule>
  </conditionalFormatting>
  <conditionalFormatting sqref="X24">
    <cfRule type="expression" dxfId="185" priority="58">
      <formula>$N$115="BD"</formula>
    </cfRule>
    <cfRule type="expression" dxfId="184" priority="59">
      <formula>$N$115="UD"</formula>
    </cfRule>
  </conditionalFormatting>
  <conditionalFormatting sqref="X27">
    <cfRule type="expression" dxfId="183" priority="38">
      <formula>$N$125="BD"</formula>
    </cfRule>
    <cfRule type="expression" dxfId="182" priority="39">
      <formula>$N$125="UD"</formula>
    </cfRule>
  </conditionalFormatting>
  <pageMargins left="0.25" right="0.25" top="0.75" bottom="0.75" header="0.3" footer="0.3"/>
  <pageSetup scale="93" fitToWidth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N139"/>
  <sheetViews>
    <sheetView zoomScale="70" zoomScaleNormal="70" workbookViewId="0">
      <selection activeCell="C8" sqref="C8"/>
    </sheetView>
  </sheetViews>
  <sheetFormatPr defaultRowHeight="15" x14ac:dyDescent="0.25"/>
  <cols>
    <col min="2" max="2" width="9.42578125" bestFit="1" customWidth="1"/>
    <col min="14" max="14" width="0" style="52" hidden="1"/>
  </cols>
  <sheetData>
    <row r="1" spans="1:14" x14ac:dyDescent="0.25">
      <c r="A1" s="61">
        <f>A3*3</f>
        <v>5.2800000000000011</v>
      </c>
      <c r="B1" s="62" t="s">
        <v>126</v>
      </c>
    </row>
    <row r="2" spans="1:14" x14ac:dyDescent="0.25">
      <c r="A2" s="61">
        <f>A3*2</f>
        <v>3.5200000000000005</v>
      </c>
      <c r="B2" s="62" t="s">
        <v>127</v>
      </c>
    </row>
    <row r="3" spans="1:14" x14ac:dyDescent="0.25">
      <c r="A3" s="61">
        <f>1.6*1.1</f>
        <v>1.7600000000000002</v>
      </c>
      <c r="B3" s="62" t="s">
        <v>128</v>
      </c>
    </row>
    <row r="5" spans="1:14" ht="15" customHeight="1" thickBot="1" x14ac:dyDescent="0.3"/>
    <row r="6" spans="1:14" ht="15.95" customHeight="1" x14ac:dyDescent="0.25">
      <c r="A6" s="5"/>
      <c r="B6" s="5" t="s">
        <v>119</v>
      </c>
      <c r="C6" s="6">
        <f>W!$K$52</f>
        <v>3.32614183426</v>
      </c>
      <c r="D6" s="6">
        <f>W!$K$53</f>
        <v>3.2761859893800001</v>
      </c>
      <c r="E6" s="6">
        <f>W!$K$54</f>
        <v>2.6704668998700001</v>
      </c>
      <c r="F6" s="6">
        <f>W!$K$55</f>
        <v>3.2134366035499999</v>
      </c>
      <c r="G6" s="6">
        <f>W!$K$56</f>
        <v>3.12555789948</v>
      </c>
      <c r="H6" s="6">
        <f>W!$K$57</f>
        <v>3.1159663200400001</v>
      </c>
      <c r="I6" s="5"/>
      <c r="J6" s="5"/>
      <c r="K6" s="2"/>
      <c r="N6" s="53"/>
    </row>
    <row r="7" spans="1:14" ht="15.95" customHeight="1" x14ac:dyDescent="0.25">
      <c r="A7" s="5"/>
      <c r="B7" s="5"/>
      <c r="C7" s="7" t="s">
        <v>11</v>
      </c>
      <c r="D7" s="9" t="s">
        <v>12</v>
      </c>
      <c r="E7" s="7" t="s">
        <v>13</v>
      </c>
      <c r="F7" s="7" t="s">
        <v>14</v>
      </c>
      <c r="G7" s="32" t="s">
        <v>15</v>
      </c>
      <c r="H7" s="7" t="s">
        <v>16</v>
      </c>
      <c r="I7" s="5"/>
      <c r="J7" s="5"/>
      <c r="K7" s="2"/>
      <c r="N7" s="53"/>
    </row>
    <row r="8" spans="1:14" ht="16.350000000000001" customHeight="1" thickBot="1" x14ac:dyDescent="0.3">
      <c r="A8" s="5"/>
      <c r="B8" s="5" t="s">
        <v>120</v>
      </c>
      <c r="C8" s="10">
        <f>W!$O$52</f>
        <v>0</v>
      </c>
      <c r="D8" s="10">
        <f>W!$O$53</f>
        <v>0</v>
      </c>
      <c r="E8" s="10">
        <f>W!$O$54</f>
        <v>0</v>
      </c>
      <c r="F8" s="10">
        <f>W!$O$55</f>
        <v>0</v>
      </c>
      <c r="G8" s="10">
        <f>W!$O$56</f>
        <v>0</v>
      </c>
      <c r="H8" s="10">
        <f>W!$O$57</f>
        <v>0</v>
      </c>
      <c r="I8" s="5"/>
      <c r="J8" s="5"/>
      <c r="K8" s="2"/>
      <c r="N8" s="53"/>
    </row>
    <row r="9" spans="1:14" ht="15.95" customHeight="1" x14ac:dyDescent="0.25">
      <c r="A9" s="5"/>
      <c r="B9" s="6">
        <f>W!$K$58</f>
        <v>3.2248640060399998</v>
      </c>
      <c r="C9" s="6">
        <f>W!$K$59</f>
        <v>3.1782269477799998</v>
      </c>
      <c r="D9" s="6">
        <f>W!$K$60</f>
        <v>3.19005012512</v>
      </c>
      <c r="E9" s="6">
        <f>W!$K$61</f>
        <v>3.21817159653</v>
      </c>
      <c r="F9" s="6">
        <f>W!$K$62</f>
        <v>3.2362580299400001</v>
      </c>
      <c r="G9" s="6">
        <f>W!$K$63</f>
        <v>3.2250618934599999</v>
      </c>
      <c r="H9" s="6">
        <f>W!$K$64</f>
        <v>3.4226274490400002</v>
      </c>
      <c r="I9" s="6">
        <f>W!$K$65</f>
        <v>3.3301377296400001</v>
      </c>
      <c r="J9" s="5"/>
      <c r="K9" s="2"/>
      <c r="N9" s="53"/>
    </row>
    <row r="10" spans="1:14" ht="15.95" customHeight="1" x14ac:dyDescent="0.25">
      <c r="A10" s="5"/>
      <c r="B10" s="7" t="s">
        <v>17</v>
      </c>
      <c r="C10" s="7" t="s">
        <v>18</v>
      </c>
      <c r="D10" s="9" t="s">
        <v>19</v>
      </c>
      <c r="E10" s="7" t="s">
        <v>20</v>
      </c>
      <c r="F10" s="7" t="s">
        <v>21</v>
      </c>
      <c r="G10" s="32" t="s">
        <v>22</v>
      </c>
      <c r="H10" s="7" t="s">
        <v>23</v>
      </c>
      <c r="I10" s="7" t="s">
        <v>24</v>
      </c>
      <c r="J10" s="5"/>
      <c r="K10" s="2"/>
      <c r="N10" s="53"/>
    </row>
    <row r="11" spans="1:14" ht="16.350000000000001" customHeight="1" thickBot="1" x14ac:dyDescent="0.3">
      <c r="A11" s="5"/>
      <c r="B11" s="8">
        <f>W!$O$58</f>
        <v>0</v>
      </c>
      <c r="C11" s="8">
        <f>W!$O$59</f>
        <v>0</v>
      </c>
      <c r="D11" s="8">
        <f>W!$O$60</f>
        <v>0</v>
      </c>
      <c r="E11" s="8">
        <f>W!$O$61</f>
        <v>0</v>
      </c>
      <c r="F11" s="8">
        <f>W!$O$62</f>
        <v>0</v>
      </c>
      <c r="G11" s="8">
        <f>W!$O$63</f>
        <v>0</v>
      </c>
      <c r="H11" s="8">
        <f>W!$O$64</f>
        <v>0</v>
      </c>
      <c r="I11" s="8">
        <f>W!$O$65</f>
        <v>0</v>
      </c>
      <c r="J11" s="5"/>
      <c r="K11" s="2"/>
      <c r="N11" s="53"/>
    </row>
    <row r="12" spans="1:14" ht="15.95" customHeight="1" x14ac:dyDescent="0.25">
      <c r="A12" s="6">
        <f>W!$K$66</f>
        <v>3.5179829597499999</v>
      </c>
      <c r="B12" s="6">
        <f>W!$K$67</f>
        <v>3.2601833343500002</v>
      </c>
      <c r="C12" s="6">
        <f>W!$K$68</f>
        <v>3.2736420631400001</v>
      </c>
      <c r="D12" s="6">
        <f>W!$K$69</f>
        <v>3.4649872779800002</v>
      </c>
      <c r="E12" s="6">
        <f>W!$K$70</f>
        <v>3.2736420631400001</v>
      </c>
      <c r="F12" s="6">
        <f>W!$K$71</f>
        <v>3.2568335533099999</v>
      </c>
      <c r="G12" s="6">
        <f>W!$K$72</f>
        <v>3.2386374473599999</v>
      </c>
      <c r="H12" s="6">
        <f>W!$K$73</f>
        <v>3.2065486908</v>
      </c>
      <c r="I12" s="6">
        <f>W!$K$74</f>
        <v>3.19378137589</v>
      </c>
      <c r="J12" s="6">
        <f>W!$K$75</f>
        <v>3.0248928070100001</v>
      </c>
      <c r="K12" s="2"/>
      <c r="N12" s="53"/>
    </row>
    <row r="13" spans="1:14" x14ac:dyDescent="0.25">
      <c r="A13" s="7" t="s">
        <v>25</v>
      </c>
      <c r="B13" s="7" t="s">
        <v>26</v>
      </c>
      <c r="C13" s="7" t="s">
        <v>27</v>
      </c>
      <c r="D13" s="9" t="s">
        <v>28</v>
      </c>
      <c r="E13" s="7" t="s">
        <v>29</v>
      </c>
      <c r="F13" s="7" t="s">
        <v>30</v>
      </c>
      <c r="G13" s="32" t="s">
        <v>31</v>
      </c>
      <c r="H13" s="7" t="s">
        <v>32</v>
      </c>
      <c r="I13" s="7" t="s">
        <v>33</v>
      </c>
      <c r="J13" s="9" t="s">
        <v>34</v>
      </c>
      <c r="K13" s="2"/>
      <c r="N13" s="53"/>
    </row>
    <row r="14" spans="1:14" ht="16.350000000000001" customHeight="1" thickBot="1" x14ac:dyDescent="0.3">
      <c r="A14" s="10">
        <f>W!$O$66</f>
        <v>0</v>
      </c>
      <c r="B14" s="10">
        <f>W!$O$67</f>
        <v>0</v>
      </c>
      <c r="C14" s="10">
        <f>W!$O$68</f>
        <v>0</v>
      </c>
      <c r="D14" s="10">
        <f>W!$O$69</f>
        <v>0</v>
      </c>
      <c r="E14" s="10">
        <f>W!$O$70</f>
        <v>0</v>
      </c>
      <c r="F14" s="10">
        <f>W!$O$71</f>
        <v>0</v>
      </c>
      <c r="G14" s="10">
        <f>W!$O$72</f>
        <v>0</v>
      </c>
      <c r="H14" s="10">
        <f>W!$O$73</f>
        <v>0</v>
      </c>
      <c r="I14" s="10">
        <f>W!$O$74</f>
        <v>0</v>
      </c>
      <c r="J14" s="10">
        <f>W!$O$75</f>
        <v>0</v>
      </c>
      <c r="K14" s="2"/>
      <c r="N14" s="53"/>
    </row>
    <row r="15" spans="1:14" ht="15.95" customHeight="1" x14ac:dyDescent="0.25">
      <c r="A15" s="40">
        <f>W!$K$76</f>
        <v>3.1999397277799999</v>
      </c>
      <c r="B15" s="40">
        <f>W!$K$77</f>
        <v>3.2076501846299998</v>
      </c>
      <c r="C15" s="40">
        <f>W!$K$78</f>
        <v>3.2091355323799999</v>
      </c>
      <c r="D15" s="40">
        <f>W!$K$79</f>
        <v>3.2410144805900001</v>
      </c>
      <c r="E15" s="40">
        <f>W!$K$80</f>
        <v>3.26853990555</v>
      </c>
      <c r="F15" s="40">
        <f>W!$K$81</f>
        <v>3.30355405807</v>
      </c>
      <c r="G15" s="40">
        <f>W!$K$82</f>
        <v>3.3144187927200002</v>
      </c>
      <c r="H15" s="40">
        <f>W!$K$83</f>
        <v>3.2870626449599998</v>
      </c>
      <c r="I15" s="40">
        <f>W!$K$84</f>
        <v>3.2274961471600001</v>
      </c>
      <c r="J15" s="40">
        <f>W!$K$85</f>
        <v>3.3031153678899998</v>
      </c>
      <c r="K15" s="91"/>
      <c r="N15" s="54"/>
    </row>
    <row r="16" spans="1:14" x14ac:dyDescent="0.25">
      <c r="A16" s="7" t="s">
        <v>35</v>
      </c>
      <c r="B16" s="7" t="s">
        <v>36</v>
      </c>
      <c r="C16" s="7" t="s">
        <v>37</v>
      </c>
      <c r="D16" s="7" t="s">
        <v>38</v>
      </c>
      <c r="E16" s="7" t="s">
        <v>39</v>
      </c>
      <c r="F16" s="7" t="s">
        <v>40</v>
      </c>
      <c r="G16" s="7" t="s">
        <v>41</v>
      </c>
      <c r="H16" s="7" t="s">
        <v>42</v>
      </c>
      <c r="I16" s="7" t="s">
        <v>43</v>
      </c>
      <c r="J16" s="7" t="s">
        <v>44</v>
      </c>
      <c r="K16" s="76"/>
      <c r="N16" s="54"/>
    </row>
    <row r="17" spans="1:14" ht="16.350000000000001" customHeight="1" thickBot="1" x14ac:dyDescent="0.3">
      <c r="A17" s="8">
        <f>W!$O$76</f>
        <v>0</v>
      </c>
      <c r="B17" s="8">
        <f>W!$O$77</f>
        <v>0</v>
      </c>
      <c r="C17" s="8">
        <f>W!$O$78</f>
        <v>0</v>
      </c>
      <c r="D17" s="36">
        <f>W!$O$79</f>
        <v>0</v>
      </c>
      <c r="E17" s="8">
        <f>W!$O$80</f>
        <v>0</v>
      </c>
      <c r="F17" s="8">
        <f>W!$O$81</f>
        <v>0</v>
      </c>
      <c r="G17" s="33">
        <f>W!$O$82</f>
        <v>0</v>
      </c>
      <c r="H17" s="8">
        <f>W!$O$83</f>
        <v>0</v>
      </c>
      <c r="I17" s="8">
        <f>W!$O$84</f>
        <v>0</v>
      </c>
      <c r="J17" s="8">
        <f>W!$O$85</f>
        <v>0</v>
      </c>
      <c r="K17" s="76"/>
      <c r="N17" s="54"/>
    </row>
    <row r="18" spans="1:14" ht="15.95" customHeight="1" x14ac:dyDescent="0.25">
      <c r="A18" s="6">
        <f>W!$K$86</f>
        <v>3.2870268821700002</v>
      </c>
      <c r="B18" s="6">
        <f>W!$K$87</f>
        <v>3.2784175872799999</v>
      </c>
      <c r="C18" s="6">
        <f>W!$K$88</f>
        <v>3.3049941062900001</v>
      </c>
      <c r="D18" s="6">
        <f>W!$K$89</f>
        <v>3.3314704895</v>
      </c>
      <c r="E18" s="6">
        <f>W!$K$90</f>
        <v>3.3174967765800001</v>
      </c>
      <c r="F18" s="6">
        <f>W!$K$91</f>
        <v>3.27106237411</v>
      </c>
      <c r="G18" s="6">
        <f>W!$K$92</f>
        <v>3.2339143753099999</v>
      </c>
      <c r="H18" s="6">
        <f>W!$K$93</f>
        <v>3.1985592842099999</v>
      </c>
      <c r="I18" s="6">
        <f>W!$K$94</f>
        <v>2.9254841804499998</v>
      </c>
      <c r="J18" s="6">
        <f>W!$K$95</f>
        <v>3.1722044944799999</v>
      </c>
      <c r="K18" s="76"/>
      <c r="N18" s="54"/>
    </row>
    <row r="19" spans="1:14" x14ac:dyDescent="0.25">
      <c r="A19" s="7" t="s">
        <v>45</v>
      </c>
      <c r="B19" s="7" t="s">
        <v>46</v>
      </c>
      <c r="C19" s="7" t="s">
        <v>47</v>
      </c>
      <c r="D19" s="7" t="s">
        <v>48</v>
      </c>
      <c r="E19" s="7" t="s">
        <v>49</v>
      </c>
      <c r="F19" s="7" t="s">
        <v>50</v>
      </c>
      <c r="G19" s="7" t="s">
        <v>51</v>
      </c>
      <c r="H19" s="7" t="s">
        <v>52</v>
      </c>
      <c r="I19" s="7" t="s">
        <v>53</v>
      </c>
      <c r="J19" s="7" t="s">
        <v>54</v>
      </c>
      <c r="K19" s="76"/>
      <c r="N19" s="54"/>
    </row>
    <row r="20" spans="1:14" ht="16.350000000000001" customHeight="1" thickBot="1" x14ac:dyDescent="0.3">
      <c r="A20" s="10">
        <f>W!$O$86</f>
        <v>0</v>
      </c>
      <c r="B20" s="8">
        <f>W!$O$87</f>
        <v>0</v>
      </c>
      <c r="C20" s="8">
        <f>W!$O$88</f>
        <v>0</v>
      </c>
      <c r="D20" s="36">
        <f>W!$O$89</f>
        <v>0</v>
      </c>
      <c r="E20" s="8">
        <f>W!$O$90</f>
        <v>0</v>
      </c>
      <c r="F20" s="8">
        <f>W!$O$91</f>
        <v>0</v>
      </c>
      <c r="G20" s="33">
        <f>W!$O$92</f>
        <v>0</v>
      </c>
      <c r="H20" s="8">
        <f>W!$O$93</f>
        <v>0</v>
      </c>
      <c r="I20" s="8">
        <f>W!$O$94</f>
        <v>0</v>
      </c>
      <c r="J20" s="10">
        <f>W!$O$95</f>
        <v>0</v>
      </c>
      <c r="K20" s="76"/>
      <c r="N20" s="54"/>
    </row>
    <row r="21" spans="1:14" ht="15.95" customHeight="1" x14ac:dyDescent="0.25">
      <c r="A21" s="6">
        <f>W!$K$96</f>
        <v>3.1751585006699998</v>
      </c>
      <c r="B21" s="6">
        <f>W!$K$97</f>
        <v>3.1877708435100001</v>
      </c>
      <c r="C21" s="6">
        <f>W!$K$98</f>
        <v>2.8932332992599998</v>
      </c>
      <c r="D21" s="6">
        <f>W!$K$99</f>
        <v>3.2170343399000001</v>
      </c>
      <c r="E21" s="6">
        <f>W!$K$100</f>
        <v>3.2634329795800001</v>
      </c>
      <c r="F21" s="6">
        <f>W!$K$101</f>
        <v>3.1552577018700001</v>
      </c>
      <c r="G21" s="6">
        <f>W!$K$102</f>
        <v>3.3345675468399998</v>
      </c>
      <c r="H21" s="6">
        <f>W!$K$103</f>
        <v>3.4628319740300002</v>
      </c>
      <c r="I21" s="6">
        <f>W!$K$104</f>
        <v>2.6906824111900001</v>
      </c>
      <c r="J21" s="6">
        <f>W!$K$105</f>
        <v>3.3111453056300002</v>
      </c>
      <c r="K21" s="76"/>
      <c r="N21" s="54"/>
    </row>
    <row r="22" spans="1:14" x14ac:dyDescent="0.25">
      <c r="A22" s="7" t="s">
        <v>55</v>
      </c>
      <c r="B22" s="7" t="s">
        <v>56</v>
      </c>
      <c r="C22" s="7" t="s">
        <v>57</v>
      </c>
      <c r="D22" s="7" t="s">
        <v>58</v>
      </c>
      <c r="E22" s="7" t="s">
        <v>59</v>
      </c>
      <c r="F22" s="7" t="s">
        <v>60</v>
      </c>
      <c r="G22" s="7" t="s">
        <v>61</v>
      </c>
      <c r="H22" s="7" t="s">
        <v>62</v>
      </c>
      <c r="I22" s="7" t="s">
        <v>63</v>
      </c>
      <c r="J22" s="7" t="s">
        <v>64</v>
      </c>
      <c r="K22" s="76"/>
      <c r="N22" s="54"/>
    </row>
    <row r="23" spans="1:14" ht="16.350000000000001" customHeight="1" thickBot="1" x14ac:dyDescent="0.3">
      <c r="A23" s="8">
        <f>W!$O$96</f>
        <v>0</v>
      </c>
      <c r="B23" s="8">
        <f>W!$O$97</f>
        <v>0</v>
      </c>
      <c r="C23" s="8">
        <f>W!$O$98</f>
        <v>0</v>
      </c>
      <c r="D23" s="36">
        <f>W!$O$99</f>
        <v>0</v>
      </c>
      <c r="E23" s="8">
        <f>W!$O$100</f>
        <v>0</v>
      </c>
      <c r="F23" s="8">
        <f>W!$O$101</f>
        <v>0</v>
      </c>
      <c r="G23" s="33">
        <f>W!$O$102</f>
        <v>0</v>
      </c>
      <c r="H23" s="8">
        <f>W!$O$103</f>
        <v>0</v>
      </c>
      <c r="I23" s="8">
        <f>W!$O$104</f>
        <v>0</v>
      </c>
      <c r="J23" s="8">
        <f>W!$O$105</f>
        <v>0</v>
      </c>
      <c r="K23" s="76"/>
      <c r="N23" s="54"/>
    </row>
    <row r="24" spans="1:14" ht="15.95" customHeight="1" x14ac:dyDescent="0.25">
      <c r="A24" s="6">
        <f>W!$K$106</f>
        <v>3.3548521995499998</v>
      </c>
      <c r="B24" s="6">
        <f>W!$K$107</f>
        <v>3.23541164398</v>
      </c>
      <c r="C24" s="6">
        <f>W!$K$108</f>
        <v>3.3191776275599998</v>
      </c>
      <c r="D24" s="6">
        <f>W!$K$109</f>
        <v>3.2862281799300002</v>
      </c>
      <c r="E24" s="6">
        <f>W!$K$110</f>
        <v>3.2995319366500002</v>
      </c>
      <c r="F24" s="6">
        <f>W!$K$111</f>
        <v>3.24110269547</v>
      </c>
      <c r="G24" s="6">
        <f>W!$K$112</f>
        <v>3.1914830207799998</v>
      </c>
      <c r="H24" s="6">
        <f>W!$K$113</f>
        <v>3.1331753730799998</v>
      </c>
      <c r="I24" s="6">
        <f>W!$K$114</f>
        <v>3.1107378005999999</v>
      </c>
      <c r="J24" s="6">
        <f>W!$K$115</f>
        <v>3.17146539688</v>
      </c>
      <c r="K24" s="76"/>
      <c r="N24" s="54"/>
    </row>
    <row r="25" spans="1:14" x14ac:dyDescent="0.25">
      <c r="A25" s="7" t="s">
        <v>65</v>
      </c>
      <c r="B25" s="7" t="s">
        <v>66</v>
      </c>
      <c r="C25" s="7" t="s">
        <v>67</v>
      </c>
      <c r="D25" s="7" t="s">
        <v>68</v>
      </c>
      <c r="E25" s="7" t="s">
        <v>69</v>
      </c>
      <c r="F25" s="7" t="s">
        <v>70</v>
      </c>
      <c r="G25" s="7" t="s">
        <v>71</v>
      </c>
      <c r="H25" s="7" t="s">
        <v>72</v>
      </c>
      <c r="I25" s="7" t="s">
        <v>73</v>
      </c>
      <c r="J25" s="7" t="s">
        <v>74</v>
      </c>
      <c r="K25" s="76"/>
      <c r="N25" s="54"/>
    </row>
    <row r="26" spans="1:14" ht="16.350000000000001" customHeight="1" thickBot="1" x14ac:dyDescent="0.3">
      <c r="A26" s="8">
        <f>W!$O$106</f>
        <v>0</v>
      </c>
      <c r="B26" s="8">
        <f>W!$O$107</f>
        <v>0</v>
      </c>
      <c r="C26" s="8">
        <f>W!$O$108</f>
        <v>0</v>
      </c>
      <c r="D26" s="36">
        <f>W!$O$109</f>
        <v>0</v>
      </c>
      <c r="E26" s="8">
        <f>W!$O$110</f>
        <v>0</v>
      </c>
      <c r="F26" s="8">
        <f>W!$O$111</f>
        <v>0</v>
      </c>
      <c r="G26" s="33">
        <f>W!$O$112</f>
        <v>0</v>
      </c>
      <c r="H26" s="8">
        <f>W!$O$113</f>
        <v>0</v>
      </c>
      <c r="I26" s="8">
        <f>W!$O$114</f>
        <v>0</v>
      </c>
      <c r="J26" s="8">
        <f>W!$O$115</f>
        <v>0</v>
      </c>
      <c r="K26" s="76"/>
      <c r="N26" s="54"/>
    </row>
    <row r="27" spans="1:14" ht="15.95" customHeight="1" x14ac:dyDescent="0.25">
      <c r="A27" s="6">
        <f>W!$K$116</f>
        <v>3.2679843902600001</v>
      </c>
      <c r="B27" s="6">
        <f>W!$K$117</f>
        <v>3.1152415275599998</v>
      </c>
      <c r="C27" s="6">
        <f>W!$K$118</f>
        <v>3.1243586540199999</v>
      </c>
      <c r="D27" s="6">
        <f>W!$K$119</f>
        <v>3.1376504898099999</v>
      </c>
      <c r="E27" s="6">
        <f>W!$K$120</f>
        <v>3.1881022453300001</v>
      </c>
      <c r="F27" s="6">
        <f>W!$K$121</f>
        <v>3.23085784912</v>
      </c>
      <c r="G27" s="6">
        <f>W!$K$122</f>
        <v>3.2326412200900001</v>
      </c>
      <c r="H27" s="6">
        <f>W!$K$123</f>
        <v>3.2122659683200001</v>
      </c>
      <c r="I27" s="6">
        <f>W!$K$124</f>
        <v>3.2454633712800001</v>
      </c>
      <c r="J27" s="6">
        <f>W!$K$125</f>
        <v>3.4124183654800002</v>
      </c>
      <c r="K27" s="2"/>
      <c r="N27" s="53"/>
    </row>
    <row r="28" spans="1:14" x14ac:dyDescent="0.25">
      <c r="A28" s="7" t="s">
        <v>75</v>
      </c>
      <c r="B28" s="7" t="s">
        <v>76</v>
      </c>
      <c r="C28" s="7" t="s">
        <v>77</v>
      </c>
      <c r="D28" s="7" t="s">
        <v>78</v>
      </c>
      <c r="E28" s="7" t="s">
        <v>79</v>
      </c>
      <c r="F28" s="7" t="s">
        <v>80</v>
      </c>
      <c r="G28" s="7" t="s">
        <v>81</v>
      </c>
      <c r="H28" s="7" t="s">
        <v>82</v>
      </c>
      <c r="I28" s="7" t="s">
        <v>83</v>
      </c>
      <c r="J28" s="7" t="s">
        <v>84</v>
      </c>
      <c r="K28" s="2"/>
      <c r="N28" s="53"/>
    </row>
    <row r="29" spans="1:14" ht="16.350000000000001" customHeight="1" thickBot="1" x14ac:dyDescent="0.3">
      <c r="A29" s="10">
        <f>W!$O$116</f>
        <v>0</v>
      </c>
      <c r="B29" s="10">
        <f>W!$O$117</f>
        <v>0</v>
      </c>
      <c r="C29" s="10">
        <f>W!$O$118</f>
        <v>0</v>
      </c>
      <c r="D29" s="37">
        <f>W!$O$119</f>
        <v>0</v>
      </c>
      <c r="E29" s="10">
        <f>W!$O$120</f>
        <v>0</v>
      </c>
      <c r="F29" s="10">
        <f>W!$O$121</f>
        <v>0</v>
      </c>
      <c r="G29" s="34">
        <f>W!$O$122</f>
        <v>0</v>
      </c>
      <c r="H29" s="10">
        <f>W!$O$123</f>
        <v>0</v>
      </c>
      <c r="I29" s="10">
        <f>W!$O$124</f>
        <v>0</v>
      </c>
      <c r="J29" s="10">
        <f>W!$O$125</f>
        <v>0</v>
      </c>
      <c r="K29" s="2"/>
      <c r="N29" s="53"/>
    </row>
    <row r="30" spans="1:14" ht="15.95" customHeight="1" x14ac:dyDescent="0.25">
      <c r="A30" s="5"/>
      <c r="B30" s="6">
        <f>W!$K$126</f>
        <v>3.2958984375</v>
      </c>
      <c r="C30" s="6">
        <f>W!$K$127</f>
        <v>3.1579661369299998</v>
      </c>
      <c r="D30" s="6">
        <f>W!$K$128</f>
        <v>2.9399466514600001</v>
      </c>
      <c r="E30" s="6">
        <f>W!$K$129</f>
        <v>3.1551051139799999</v>
      </c>
      <c r="F30" s="6">
        <f>W!$K$130</f>
        <v>3.1331944465600001</v>
      </c>
      <c r="G30" s="6">
        <f>W!$K$131</f>
        <v>3.06035995483</v>
      </c>
      <c r="H30" s="6">
        <f>W!$K$132</f>
        <v>3.0680227279699999</v>
      </c>
      <c r="I30" s="6">
        <f>W!$K$133</f>
        <v>3.3734965324399999</v>
      </c>
      <c r="J30" s="5"/>
      <c r="K30" s="2"/>
      <c r="N30" s="53"/>
    </row>
    <row r="31" spans="1:14" ht="18.399999999999999" customHeight="1" x14ac:dyDescent="0.25">
      <c r="A31" s="5"/>
      <c r="B31" s="7" t="s">
        <v>85</v>
      </c>
      <c r="C31" s="7" t="s">
        <v>86</v>
      </c>
      <c r="D31" s="7" t="s">
        <v>87</v>
      </c>
      <c r="E31" s="7" t="s">
        <v>88</v>
      </c>
      <c r="F31" s="7" t="s">
        <v>89</v>
      </c>
      <c r="G31" s="7" t="s">
        <v>90</v>
      </c>
      <c r="H31" s="7" t="s">
        <v>91</v>
      </c>
      <c r="I31" s="7" t="s">
        <v>92</v>
      </c>
      <c r="J31" s="5"/>
      <c r="K31" s="16"/>
      <c r="N31" s="53"/>
    </row>
    <row r="32" spans="1:14" ht="18.95" customHeight="1" thickBot="1" x14ac:dyDescent="0.3">
      <c r="A32" s="5"/>
      <c r="B32" s="10">
        <f>W!$O$126</f>
        <v>0</v>
      </c>
      <c r="C32" s="8">
        <f>W!$O$127</f>
        <v>0</v>
      </c>
      <c r="D32" s="36">
        <f>W!$O$128</f>
        <v>0</v>
      </c>
      <c r="E32" s="8">
        <f>W!$O$129</f>
        <v>0</v>
      </c>
      <c r="F32" s="8">
        <f>W!$O$130</f>
        <v>0</v>
      </c>
      <c r="G32" s="33">
        <f>W!$O$131</f>
        <v>0</v>
      </c>
      <c r="H32" s="8">
        <f>W!$O$132</f>
        <v>0</v>
      </c>
      <c r="I32" s="10">
        <f>W!$O$133</f>
        <v>0</v>
      </c>
      <c r="J32" s="5"/>
      <c r="K32" s="16"/>
      <c r="N32" s="53"/>
    </row>
    <row r="33" spans="1:14" ht="15.95" customHeight="1" x14ac:dyDescent="0.25">
      <c r="A33" s="5"/>
      <c r="B33" s="5"/>
      <c r="C33" s="6">
        <f>W!$K$134</f>
        <v>3.3393454551700001</v>
      </c>
      <c r="D33" s="6">
        <f>W!$K$135</f>
        <v>3.0584168434099999</v>
      </c>
      <c r="E33" s="6">
        <f>W!$K$136</f>
        <v>2.8850102424599999</v>
      </c>
      <c r="F33" s="6">
        <f>W!$K$137</f>
        <v>3.11069488525</v>
      </c>
      <c r="G33" s="6">
        <f>W!$K$138</f>
        <v>2.6477718353299999</v>
      </c>
      <c r="H33" s="6">
        <f>W!$K$139</f>
        <v>2.8346586227400001</v>
      </c>
      <c r="I33" s="5"/>
      <c r="J33" s="5"/>
      <c r="K33" s="2"/>
      <c r="N33" s="53"/>
    </row>
    <row r="34" spans="1:14" ht="15.95" customHeight="1" x14ac:dyDescent="0.25">
      <c r="A34" s="5"/>
      <c r="B34" s="5"/>
      <c r="C34" s="7" t="s">
        <v>93</v>
      </c>
      <c r="D34" s="7" t="s">
        <v>94</v>
      </c>
      <c r="E34" s="7" t="s">
        <v>95</v>
      </c>
      <c r="F34" s="7" t="s">
        <v>96</v>
      </c>
      <c r="G34" s="7" t="s">
        <v>97</v>
      </c>
      <c r="H34" s="7" t="s">
        <v>98</v>
      </c>
      <c r="I34" s="5"/>
      <c r="J34" s="5"/>
      <c r="K34" s="2"/>
      <c r="N34" s="53"/>
    </row>
    <row r="35" spans="1:14" ht="16.350000000000001" customHeight="1" thickBot="1" x14ac:dyDescent="0.3">
      <c r="A35" s="5"/>
      <c r="B35" s="5"/>
      <c r="C35" s="10">
        <f>W!$O$134</f>
        <v>0</v>
      </c>
      <c r="D35" s="37">
        <f>W!$O$135</f>
        <v>0</v>
      </c>
      <c r="E35" s="10">
        <f>W!$O$136</f>
        <v>0</v>
      </c>
      <c r="F35" s="10">
        <f>W!$O$137</f>
        <v>0</v>
      </c>
      <c r="G35" s="34">
        <f>W!$O$138</f>
        <v>0</v>
      </c>
      <c r="H35" s="10">
        <f>W!$O$139</f>
        <v>0</v>
      </c>
      <c r="I35" s="5"/>
      <c r="J35" s="5"/>
      <c r="K35" s="2"/>
      <c r="N35" s="53"/>
    </row>
    <row r="36" spans="1:14" x14ac:dyDescent="0.25">
      <c r="C36" s="11"/>
      <c r="D36" s="90" t="s">
        <v>99</v>
      </c>
      <c r="E36" s="88"/>
      <c r="F36" s="88"/>
      <c r="G36" s="88"/>
      <c r="H36" s="11"/>
      <c r="I36" s="2"/>
      <c r="J36" s="2"/>
      <c r="K36" s="2"/>
      <c r="N36" s="53"/>
    </row>
    <row r="37" spans="1:14" x14ac:dyDescent="0.25">
      <c r="C37" s="11"/>
      <c r="D37" s="80"/>
      <c r="E37" s="80"/>
      <c r="F37" s="80"/>
      <c r="G37" s="80"/>
      <c r="H37" s="11"/>
      <c r="I37" s="2"/>
      <c r="J37" s="2"/>
      <c r="K37" s="2"/>
      <c r="N37" s="53"/>
    </row>
    <row r="39" spans="1:14" x14ac:dyDescent="0.25">
      <c r="A39" s="55" t="s">
        <v>129</v>
      </c>
      <c r="B39" s="56">
        <f ca="1">IF(OR(W!C43&lt;&gt;"",W!C44&lt;&gt;""),MAX(C6:H6,C8:H8,B9:I9,B11:I11,A12:J12,A14:J14,A15:J15,A17:J17,A18:J18,A20:J20,A21:J21,A23:J23,A24:J24,A26:J26,A27:J27,A29:J29,B30:I30,B32:I32,C33:H33,C35:H35),"")</f>
        <v>3.5179829597499999</v>
      </c>
    </row>
    <row r="40" spans="1:14" x14ac:dyDescent="0.25">
      <c r="A40" s="57" t="s">
        <v>130</v>
      </c>
      <c r="B40" s="58">
        <f ca="1">IF(OR(W!C43&lt;&gt;"",W!C44&lt;&gt;""),MIN(C6:H6,C8:H8,B9:I9,B11:I11,A12:J12,A14:J14,A15:J15,A17:J17,A18:J18,A20:J20,A21:J21,A23:J23,A24:J24,A26:J26,A27:J27,A29:J29,B30:I30,B32:I32,C33:H33,C35:H35),"")</f>
        <v>0</v>
      </c>
    </row>
    <row r="41" spans="1:14" x14ac:dyDescent="0.25">
      <c r="A41" s="59" t="s">
        <v>131</v>
      </c>
      <c r="B41" s="60">
        <f ca="1">IF(OR(W!C43&lt;&gt;"",W!C44&lt;&gt;""),W!C43,"")</f>
        <v>3.2293175734003841</v>
      </c>
    </row>
    <row r="42" spans="1:14" x14ac:dyDescent="0.25">
      <c r="A42" s="57" t="s">
        <v>132</v>
      </c>
      <c r="B42" s="58">
        <f ca="1">IF(OR(W!C43&lt;&gt;"",W!C44&lt;&gt;""),W!C44,"")</f>
        <v>3.2999756244513461</v>
      </c>
    </row>
    <row r="43" spans="1:14" x14ac:dyDescent="0.25">
      <c r="A43" s="59" t="s">
        <v>133</v>
      </c>
      <c r="B43" s="60">
        <f ca="1">IF(OR(W!C43&lt;&gt;"",W!C44&lt;&gt;""),_xlfn.STDEV.S(C6:H6,B9:I9,A12:J12,A15:J15,A18:J18,A21:J21,A24:J24,A27:J27,B30:I30,C33:H33),"")</f>
        <v>0.15660263524109477</v>
      </c>
    </row>
    <row r="44" spans="1:14" x14ac:dyDescent="0.25">
      <c r="A44" s="57" t="s">
        <v>134</v>
      </c>
      <c r="B44" s="58">
        <f ca="1">IF(OR(W!C43&lt;&gt;"",W!C44&lt;&gt;""),_xlfn.STDEV.S(C8:H8,B11:I11,A14:J14,A17:J17,A20:J20,A23:J23,A26:J26,A29:J29,B32:I32,C35:H35),"")</f>
        <v>0</v>
      </c>
    </row>
    <row r="51" spans="14:14" hidden="1" x14ac:dyDescent="0.25">
      <c r="N51" s="52" t="str">
        <f ca="1">W!N52</f>
        <v>UD</v>
      </c>
    </row>
    <row r="52" spans="14:14" hidden="1" x14ac:dyDescent="0.25">
      <c r="N52" s="52" t="str">
        <f ca="1">W!N53</f>
        <v>BD</v>
      </c>
    </row>
    <row r="53" spans="14:14" hidden="1" x14ac:dyDescent="0.25">
      <c r="N53" s="52" t="str">
        <f ca="1">W!N54</f>
        <v>UD</v>
      </c>
    </row>
    <row r="54" spans="14:14" hidden="1" x14ac:dyDescent="0.25">
      <c r="N54" s="52" t="str">
        <f ca="1">W!N55</f>
        <v>BD</v>
      </c>
    </row>
    <row r="55" spans="14:14" hidden="1" x14ac:dyDescent="0.25">
      <c r="N55" s="52" t="str">
        <f ca="1">W!N56</f>
        <v>UD</v>
      </c>
    </row>
    <row r="56" spans="14:14" hidden="1" x14ac:dyDescent="0.25">
      <c r="N56" s="52" t="str">
        <f ca="1">W!N57</f>
        <v/>
      </c>
    </row>
    <row r="57" spans="14:14" hidden="1" x14ac:dyDescent="0.25">
      <c r="N57" s="52" t="str">
        <f>W!N58</f>
        <v>BD</v>
      </c>
    </row>
    <row r="58" spans="14:14" hidden="1" x14ac:dyDescent="0.25">
      <c r="N58" s="52" t="str">
        <f>W!N59</f>
        <v>BD</v>
      </c>
    </row>
    <row r="59" spans="14:14" hidden="1" x14ac:dyDescent="0.25">
      <c r="N59" s="52" t="str">
        <f>W!N60</f>
        <v>UD</v>
      </c>
    </row>
    <row r="60" spans="14:14" hidden="1" x14ac:dyDescent="0.25">
      <c r="N60" s="52" t="str">
        <f>W!N61</f>
        <v>BD</v>
      </c>
    </row>
    <row r="61" spans="14:14" hidden="1" x14ac:dyDescent="0.25">
      <c r="N61" s="52" t="str">
        <f>W!N62</f>
        <v>BD</v>
      </c>
    </row>
    <row r="62" spans="14:14" hidden="1" x14ac:dyDescent="0.25">
      <c r="N62" s="52" t="str">
        <f>W!N63</f>
        <v>BD</v>
      </c>
    </row>
    <row r="63" spans="14:14" hidden="1" x14ac:dyDescent="0.25">
      <c r="N63" s="52" t="str">
        <f>W!N64</f>
        <v>UD</v>
      </c>
    </row>
    <row r="64" spans="14:14" hidden="1" x14ac:dyDescent="0.25">
      <c r="N64" s="52" t="str">
        <f>W!N65</f>
        <v>BD</v>
      </c>
    </row>
    <row r="65" spans="14:14" hidden="1" x14ac:dyDescent="0.25">
      <c r="N65" s="52" t="str">
        <f ca="1">W!N66</f>
        <v>UD</v>
      </c>
    </row>
    <row r="66" spans="14:14" hidden="1" x14ac:dyDescent="0.25">
      <c r="N66" s="52" t="str">
        <f ca="1">W!N67</f>
        <v>BD</v>
      </c>
    </row>
    <row r="67" spans="14:14" hidden="1" x14ac:dyDescent="0.25">
      <c r="N67" s="52" t="str">
        <f ca="1">W!N68</f>
        <v>UD</v>
      </c>
    </row>
    <row r="68" spans="14:14" hidden="1" x14ac:dyDescent="0.25">
      <c r="N68" s="52" t="str">
        <f ca="1">W!N69</f>
        <v>UD</v>
      </c>
    </row>
    <row r="69" spans="14:14" hidden="1" x14ac:dyDescent="0.25">
      <c r="N69" s="52" t="str">
        <f ca="1">W!N70</f>
        <v>BD</v>
      </c>
    </row>
    <row r="70" spans="14:14" hidden="1" x14ac:dyDescent="0.25">
      <c r="N70" s="52" t="str">
        <f ca="1">W!N71</f>
        <v>BD</v>
      </c>
    </row>
    <row r="71" spans="14:14" hidden="1" x14ac:dyDescent="0.25">
      <c r="N71" s="52" t="str">
        <f ca="1">W!N72</f>
        <v>BD</v>
      </c>
    </row>
    <row r="72" spans="14:14" hidden="1" x14ac:dyDescent="0.25">
      <c r="N72" s="52" t="str">
        <f ca="1">W!N73</f>
        <v>BD</v>
      </c>
    </row>
    <row r="73" spans="14:14" hidden="1" x14ac:dyDescent="0.25">
      <c r="N73" s="52" t="str">
        <f ca="1">W!N74</f>
        <v>BD</v>
      </c>
    </row>
    <row r="74" spans="14:14" hidden="1" x14ac:dyDescent="0.25">
      <c r="N74" s="52" t="str">
        <f ca="1">W!N75</f>
        <v/>
      </c>
    </row>
    <row r="75" spans="14:14" hidden="1" x14ac:dyDescent="0.25">
      <c r="N75" s="52" t="str">
        <f ca="1">W!N76</f>
        <v>BD</v>
      </c>
    </row>
    <row r="76" spans="14:14" hidden="1" x14ac:dyDescent="0.25">
      <c r="N76" s="52" t="str">
        <f ca="1">W!N77</f>
        <v>BD</v>
      </c>
    </row>
    <row r="77" spans="14:14" hidden="1" x14ac:dyDescent="0.25">
      <c r="N77" s="52" t="str">
        <f ca="1">W!N78</f>
        <v>UD</v>
      </c>
    </row>
    <row r="78" spans="14:14" hidden="1" x14ac:dyDescent="0.25">
      <c r="N78" s="52" t="str">
        <f ca="1">W!N79</f>
        <v>BD</v>
      </c>
    </row>
    <row r="79" spans="14:14" hidden="1" x14ac:dyDescent="0.25">
      <c r="N79" s="52" t="str">
        <f ca="1">W!N80</f>
        <v>BD</v>
      </c>
    </row>
    <row r="80" spans="14:14" hidden="1" x14ac:dyDescent="0.25">
      <c r="N80" s="52" t="str">
        <f ca="1">W!N81</f>
        <v>UD</v>
      </c>
    </row>
    <row r="81" spans="14:14" hidden="1" x14ac:dyDescent="0.25">
      <c r="N81" s="52" t="str">
        <f ca="1">W!N82</f>
        <v>BD</v>
      </c>
    </row>
    <row r="82" spans="14:14" hidden="1" x14ac:dyDescent="0.25">
      <c r="N82" s="52" t="str">
        <f ca="1">W!N83</f>
        <v>UD</v>
      </c>
    </row>
    <row r="83" spans="14:14" hidden="1" x14ac:dyDescent="0.25">
      <c r="N83" s="52" t="str">
        <f ca="1">W!N84</f>
        <v>BD</v>
      </c>
    </row>
    <row r="84" spans="14:14" hidden="1" x14ac:dyDescent="0.25">
      <c r="N84" s="52" t="str">
        <f ca="1">W!N85</f>
        <v>BD</v>
      </c>
    </row>
    <row r="85" spans="14:14" hidden="1" x14ac:dyDescent="0.25">
      <c r="N85" s="52" t="str">
        <f ca="1">W!N86</f>
        <v>UD</v>
      </c>
    </row>
    <row r="86" spans="14:14" hidden="1" x14ac:dyDescent="0.25">
      <c r="N86" s="52" t="str">
        <f ca="1">W!N87</f>
        <v>BD</v>
      </c>
    </row>
    <row r="87" spans="14:14" hidden="1" x14ac:dyDescent="0.25">
      <c r="N87" s="52" t="str">
        <f ca="1">W!N88</f>
        <v>BD</v>
      </c>
    </row>
    <row r="88" spans="14:14" hidden="1" x14ac:dyDescent="0.25">
      <c r="N88" s="52" t="str">
        <f ca="1">W!N89</f>
        <v>UD</v>
      </c>
    </row>
    <row r="89" spans="14:14" hidden="1" x14ac:dyDescent="0.25">
      <c r="N89" s="52" t="str">
        <f ca="1">W!N90</f>
        <v>UD</v>
      </c>
    </row>
    <row r="90" spans="14:14" hidden="1" x14ac:dyDescent="0.25">
      <c r="N90" s="52" t="str">
        <f ca="1">W!N91</f>
        <v>UD</v>
      </c>
    </row>
    <row r="91" spans="14:14" hidden="1" x14ac:dyDescent="0.25">
      <c r="N91" s="52" t="str">
        <f ca="1">W!N92</f>
        <v>BD</v>
      </c>
    </row>
    <row r="92" spans="14:14" hidden="1" x14ac:dyDescent="0.25">
      <c r="N92" s="52" t="str">
        <f ca="1">W!N93</f>
        <v>BD</v>
      </c>
    </row>
    <row r="93" spans="14:14" hidden="1" x14ac:dyDescent="0.25">
      <c r="N93" s="52" t="str">
        <f ca="1">W!N94</f>
        <v>UD</v>
      </c>
    </row>
    <row r="94" spans="14:14" hidden="1" x14ac:dyDescent="0.25">
      <c r="N94" s="52" t="str">
        <f ca="1">W!N95</f>
        <v>BD</v>
      </c>
    </row>
    <row r="95" spans="14:14" hidden="1" x14ac:dyDescent="0.25">
      <c r="N95" s="52" t="str">
        <f ca="1">W!N96</f>
        <v>BD</v>
      </c>
    </row>
    <row r="96" spans="14:14" hidden="1" x14ac:dyDescent="0.25">
      <c r="N96" s="52" t="str">
        <f ca="1">W!N97</f>
        <v>BD</v>
      </c>
    </row>
    <row r="97" spans="14:14" hidden="1" x14ac:dyDescent="0.25">
      <c r="N97" s="52" t="str">
        <f ca="1">W!N98</f>
        <v>UD</v>
      </c>
    </row>
    <row r="98" spans="14:14" hidden="1" x14ac:dyDescent="0.25">
      <c r="N98" s="52" t="str">
        <f ca="1">W!N99</f>
        <v>BD</v>
      </c>
    </row>
    <row r="99" spans="14:14" hidden="1" x14ac:dyDescent="0.25">
      <c r="N99" s="52" t="str">
        <f ca="1">W!N100</f>
        <v>BD</v>
      </c>
    </row>
    <row r="100" spans="14:14" hidden="1" x14ac:dyDescent="0.25">
      <c r="N100" s="52" t="str">
        <f ca="1">W!N101</f>
        <v>UD</v>
      </c>
    </row>
    <row r="101" spans="14:14" hidden="1" x14ac:dyDescent="0.25">
      <c r="N101" s="52" t="str">
        <f ca="1">W!N102</f>
        <v>BD</v>
      </c>
    </row>
    <row r="102" spans="14:14" hidden="1" x14ac:dyDescent="0.25">
      <c r="N102" s="52" t="str">
        <f ca="1">W!N103</f>
        <v>UD</v>
      </c>
    </row>
    <row r="103" spans="14:14" hidden="1" x14ac:dyDescent="0.25">
      <c r="N103" s="52" t="str">
        <f ca="1">W!N104</f>
        <v>UD</v>
      </c>
    </row>
    <row r="104" spans="14:14" hidden="1" x14ac:dyDescent="0.25">
      <c r="N104" s="52" t="str">
        <f ca="1">W!N105</f>
        <v>UD</v>
      </c>
    </row>
    <row r="105" spans="14:14" hidden="1" x14ac:dyDescent="0.25">
      <c r="N105" s="52" t="str">
        <f ca="1">W!N106</f>
        <v>BD</v>
      </c>
    </row>
    <row r="106" spans="14:14" hidden="1" x14ac:dyDescent="0.25">
      <c r="N106" s="52" t="str">
        <f ca="1">W!N107</f>
        <v>BD</v>
      </c>
    </row>
    <row r="107" spans="14:14" hidden="1" x14ac:dyDescent="0.25">
      <c r="N107" s="52" t="str">
        <f ca="1">W!N108</f>
        <v>UD</v>
      </c>
    </row>
    <row r="108" spans="14:14" hidden="1" x14ac:dyDescent="0.25">
      <c r="N108" s="52" t="str">
        <f ca="1">W!N109</f>
        <v>UD</v>
      </c>
    </row>
    <row r="109" spans="14:14" hidden="1" x14ac:dyDescent="0.25">
      <c r="N109" s="52" t="str">
        <f ca="1">W!N110</f>
        <v>UD</v>
      </c>
    </row>
    <row r="110" spans="14:14" hidden="1" x14ac:dyDescent="0.25">
      <c r="N110" s="52" t="str">
        <f ca="1">W!N111</f>
        <v>BD</v>
      </c>
    </row>
    <row r="111" spans="14:14" hidden="1" x14ac:dyDescent="0.25">
      <c r="N111" s="52" t="str">
        <f ca="1">W!N112</f>
        <v>UD</v>
      </c>
    </row>
    <row r="112" spans="14:14" hidden="1" x14ac:dyDescent="0.25">
      <c r="N112" s="52" t="str">
        <f ca="1">W!N113</f>
        <v>UD</v>
      </c>
    </row>
    <row r="113" spans="14:14" hidden="1" x14ac:dyDescent="0.25">
      <c r="N113" s="52" t="str">
        <f ca="1">W!N114</f>
        <v>BD</v>
      </c>
    </row>
    <row r="114" spans="14:14" hidden="1" x14ac:dyDescent="0.25">
      <c r="N114" s="52" t="str">
        <f ca="1">W!N115</f>
        <v>BD</v>
      </c>
    </row>
    <row r="115" spans="14:14" hidden="1" x14ac:dyDescent="0.25">
      <c r="N115" s="52" t="str">
        <f ca="1">W!N116</f>
        <v>BD</v>
      </c>
    </row>
    <row r="116" spans="14:14" hidden="1" x14ac:dyDescent="0.25">
      <c r="N116" s="52" t="str">
        <f ca="1">W!N117</f>
        <v>BD</v>
      </c>
    </row>
    <row r="117" spans="14:14" hidden="1" x14ac:dyDescent="0.25">
      <c r="N117" s="52" t="str">
        <f ca="1">W!N118</f>
        <v>UD</v>
      </c>
    </row>
    <row r="118" spans="14:14" hidden="1" x14ac:dyDescent="0.25">
      <c r="N118" s="52" t="str">
        <f ca="1">W!N119</f>
        <v>BD</v>
      </c>
    </row>
    <row r="119" spans="14:14" hidden="1" x14ac:dyDescent="0.25">
      <c r="N119" s="52" t="str">
        <f ca="1">W!N120</f>
        <v>BD</v>
      </c>
    </row>
    <row r="120" spans="14:14" hidden="1" x14ac:dyDescent="0.25">
      <c r="N120" s="52" t="str">
        <f ca="1">W!N121</f>
        <v>UD</v>
      </c>
    </row>
    <row r="121" spans="14:14" hidden="1" x14ac:dyDescent="0.25">
      <c r="N121" s="52" t="str">
        <f ca="1">W!N122</f>
        <v>BD</v>
      </c>
    </row>
    <row r="122" spans="14:14" hidden="1" x14ac:dyDescent="0.25">
      <c r="N122" s="52" t="str">
        <f ca="1">W!N123</f>
        <v>BD</v>
      </c>
    </row>
    <row r="123" spans="14:14" hidden="1" x14ac:dyDescent="0.25">
      <c r="N123" s="52" t="str">
        <f ca="1">W!N124</f>
        <v>BD</v>
      </c>
    </row>
    <row r="124" spans="14:14" hidden="1" x14ac:dyDescent="0.25">
      <c r="N124" s="52" t="str">
        <f ca="1">W!N125</f>
        <v>BD</v>
      </c>
    </row>
    <row r="125" spans="14:14" hidden="1" x14ac:dyDescent="0.25">
      <c r="N125" s="52" t="str">
        <f ca="1">W!N126</f>
        <v>BD</v>
      </c>
    </row>
    <row r="126" spans="14:14" hidden="1" x14ac:dyDescent="0.25">
      <c r="N126" s="52" t="str">
        <f ca="1">W!N127</f>
        <v>BD</v>
      </c>
    </row>
    <row r="127" spans="14:14" hidden="1" x14ac:dyDescent="0.25">
      <c r="N127" s="52" t="str">
        <f ca="1">W!N128</f>
        <v/>
      </c>
    </row>
    <row r="128" spans="14:14" hidden="1" x14ac:dyDescent="0.25">
      <c r="N128" s="52" t="str">
        <f ca="1">W!N129</f>
        <v>UD</v>
      </c>
    </row>
    <row r="129" spans="14:14" hidden="1" x14ac:dyDescent="0.25">
      <c r="N129" s="52" t="str">
        <f ca="1">W!N130</f>
        <v>BD</v>
      </c>
    </row>
    <row r="130" spans="14:14" hidden="1" x14ac:dyDescent="0.25">
      <c r="N130" s="52" t="str">
        <f ca="1">W!N131</f>
        <v>BD</v>
      </c>
    </row>
    <row r="131" spans="14:14" hidden="1" x14ac:dyDescent="0.25">
      <c r="N131" s="52" t="str">
        <f ca="1">W!N132</f>
        <v>BD</v>
      </c>
    </row>
    <row r="132" spans="14:14" hidden="1" x14ac:dyDescent="0.25">
      <c r="N132" s="52" t="str">
        <f ca="1">W!N133</f>
        <v>BD</v>
      </c>
    </row>
    <row r="133" spans="14:14" hidden="1" x14ac:dyDescent="0.25">
      <c r="N133" s="52" t="str">
        <f ca="1">W!N134</f>
        <v>BD</v>
      </c>
    </row>
    <row r="134" spans="14:14" hidden="1" x14ac:dyDescent="0.25">
      <c r="N134" s="52" t="str">
        <f ca="1">W!N135</f>
        <v>UD</v>
      </c>
    </row>
    <row r="135" spans="14:14" hidden="1" x14ac:dyDescent="0.25">
      <c r="N135" s="52" t="str">
        <f ca="1">W!N136</f>
        <v>UD</v>
      </c>
    </row>
    <row r="136" spans="14:14" hidden="1" x14ac:dyDescent="0.25">
      <c r="N136" s="52" t="str">
        <f ca="1">W!N137</f>
        <v>BD</v>
      </c>
    </row>
    <row r="137" spans="14:14" hidden="1" x14ac:dyDescent="0.25">
      <c r="N137" s="52" t="str">
        <f ca="1">W!N138</f>
        <v>UD</v>
      </c>
    </row>
    <row r="138" spans="14:14" hidden="1" x14ac:dyDescent="0.25">
      <c r="N138" s="52" t="str">
        <f ca="1">W!N139</f>
        <v>UD</v>
      </c>
    </row>
    <row r="139" spans="14:14" hidden="1" x14ac:dyDescent="0.25">
      <c r="N139" s="52">
        <f>W!N140</f>
        <v>0</v>
      </c>
    </row>
  </sheetData>
  <mergeCells count="2">
    <mergeCell ref="K15:K26"/>
    <mergeCell ref="D36:G37"/>
  </mergeCells>
  <conditionalFormatting sqref="A13">
    <cfRule type="expression" dxfId="181" priority="149">
      <formula>$N$65="UD"</formula>
    </cfRule>
    <cfRule type="expression" dxfId="180" priority="148">
      <formula>$N$65="BD"</formula>
    </cfRule>
  </conditionalFormatting>
  <conditionalFormatting sqref="A16">
    <cfRule type="expression" dxfId="179" priority="129">
      <formula>$N$75="UD"</formula>
    </cfRule>
    <cfRule type="expression" dxfId="178" priority="128">
      <formula>$N$75="BD"</formula>
    </cfRule>
  </conditionalFormatting>
  <conditionalFormatting sqref="A19">
    <cfRule type="expression" dxfId="177" priority="109">
      <formula>$N$85="UD"</formula>
    </cfRule>
    <cfRule type="expression" dxfId="176" priority="108">
      <formula>$N$85="BD"</formula>
    </cfRule>
  </conditionalFormatting>
  <conditionalFormatting sqref="A22">
    <cfRule type="expression" dxfId="175" priority="89">
      <formula>$N$95="UD"</formula>
    </cfRule>
    <cfRule type="expression" dxfId="174" priority="88">
      <formula>$N$95="BD"</formula>
    </cfRule>
  </conditionalFormatting>
  <conditionalFormatting sqref="A25">
    <cfRule type="expression" dxfId="173" priority="68">
      <formula>$N$105="BD"</formula>
    </cfRule>
    <cfRule type="expression" dxfId="172" priority="69">
      <formula>$N$105="UD"</formula>
    </cfRule>
  </conditionalFormatting>
  <conditionalFormatting sqref="A28">
    <cfRule type="expression" dxfId="171" priority="48">
      <formula>$N$115="BD"</formula>
    </cfRule>
    <cfRule type="expression" dxfId="170" priority="49">
      <formula>$N$115="UD"</formula>
    </cfRule>
  </conditionalFormatting>
  <conditionalFormatting sqref="B10">
    <cfRule type="expression" dxfId="169" priority="165">
      <formula>$N$57="UD"</formula>
    </cfRule>
    <cfRule type="expression" dxfId="168" priority="164">
      <formula>$N$57="BD"</formula>
    </cfRule>
  </conditionalFormatting>
  <conditionalFormatting sqref="B13">
    <cfRule type="expression" dxfId="167" priority="147">
      <formula>$N$66="UD"</formula>
    </cfRule>
    <cfRule type="expression" dxfId="166" priority="146">
      <formula>$N$66="BD"</formula>
    </cfRule>
  </conditionalFormatting>
  <conditionalFormatting sqref="B16">
    <cfRule type="expression" dxfId="165" priority="127">
      <formula>$N$76="UD"</formula>
    </cfRule>
    <cfRule type="expression" dxfId="164" priority="126">
      <formula>$N$76="BD"</formula>
    </cfRule>
  </conditionalFormatting>
  <conditionalFormatting sqref="B19">
    <cfRule type="expression" dxfId="163" priority="106">
      <formula>$N$86="BD"</formula>
    </cfRule>
    <cfRule type="expression" dxfId="162" priority="107">
      <formula>$N$86="UD"</formula>
    </cfRule>
  </conditionalFormatting>
  <conditionalFormatting sqref="B22">
    <cfRule type="expression" dxfId="161" priority="87">
      <formula>$N$96="UD"</formula>
    </cfRule>
    <cfRule type="expression" dxfId="160" priority="86">
      <formula>$N$96="BD"</formula>
    </cfRule>
  </conditionalFormatting>
  <conditionalFormatting sqref="B25">
    <cfRule type="expression" dxfId="159" priority="66">
      <formula>$N$106="BD"</formula>
    </cfRule>
    <cfRule type="expression" dxfId="158" priority="67">
      <formula>$N$106="UD"</formula>
    </cfRule>
  </conditionalFormatting>
  <conditionalFormatting sqref="B28">
    <cfRule type="expression" dxfId="157" priority="47">
      <formula>$N$116="UD"</formula>
    </cfRule>
    <cfRule type="expression" dxfId="156" priority="46">
      <formula>$N$116="BD"</formula>
    </cfRule>
  </conditionalFormatting>
  <conditionalFormatting sqref="B31">
    <cfRule type="expression" dxfId="155" priority="29">
      <formula>$N$125="UD"</formula>
    </cfRule>
    <cfRule type="expression" dxfId="154" priority="28">
      <formula>$N$125="BD"</formula>
    </cfRule>
  </conditionalFormatting>
  <conditionalFormatting sqref="C7">
    <cfRule type="expression" dxfId="153" priority="177">
      <formula>$N$51="UD"</formula>
    </cfRule>
    <cfRule type="expression" dxfId="152" priority="176">
      <formula>$N$51="BD"</formula>
    </cfRule>
  </conditionalFormatting>
  <conditionalFormatting sqref="C10">
    <cfRule type="expression" dxfId="151" priority="163">
      <formula>$N$58="UD"</formula>
    </cfRule>
    <cfRule type="expression" dxfId="150" priority="162">
      <formula>$N$58="BD"</formula>
    </cfRule>
  </conditionalFormatting>
  <conditionalFormatting sqref="C13">
    <cfRule type="expression" dxfId="149" priority="144">
      <formula>$N$67="BD"</formula>
    </cfRule>
    <cfRule type="expression" dxfId="148" priority="145">
      <formula>$N$67="UD"</formula>
    </cfRule>
  </conditionalFormatting>
  <conditionalFormatting sqref="C16">
    <cfRule type="expression" dxfId="147" priority="125">
      <formula>$N$77="UD"</formula>
    </cfRule>
    <cfRule type="expression" dxfId="146" priority="124">
      <formula>$N$77="BD"</formula>
    </cfRule>
  </conditionalFormatting>
  <conditionalFormatting sqref="C19">
    <cfRule type="expression" dxfId="145" priority="104">
      <formula>$N$87="BD"</formula>
    </cfRule>
    <cfRule type="expression" dxfId="144" priority="105">
      <formula>$N$87="UD"</formula>
    </cfRule>
  </conditionalFormatting>
  <conditionalFormatting sqref="C22">
    <cfRule type="expression" dxfId="143" priority="84">
      <formula>$N$97="BD"</formula>
    </cfRule>
    <cfRule type="expression" dxfId="142" priority="85">
      <formula>$N$97="UD"</formula>
    </cfRule>
  </conditionalFormatting>
  <conditionalFormatting sqref="C25">
    <cfRule type="expression" dxfId="141" priority="65">
      <formula>$N$107="UD"</formula>
    </cfRule>
    <cfRule type="expression" dxfId="140" priority="64">
      <formula>$N$107="BD"</formula>
    </cfRule>
  </conditionalFormatting>
  <conditionalFormatting sqref="C28">
    <cfRule type="expression" dxfId="139" priority="45">
      <formula>$N$117="UD"</formula>
    </cfRule>
    <cfRule type="expression" dxfId="138" priority="44">
      <formula>$N$117="BD"</formula>
    </cfRule>
  </conditionalFormatting>
  <conditionalFormatting sqref="C31">
    <cfRule type="expression" dxfId="137" priority="27">
      <formula>$N$126="UD"</formula>
    </cfRule>
    <cfRule type="expression" dxfId="136" priority="26">
      <formula>$N$126="BD"</formula>
    </cfRule>
  </conditionalFormatting>
  <conditionalFormatting sqref="C34">
    <cfRule type="expression" dxfId="135" priority="13">
      <formula>$N$133="UD"</formula>
    </cfRule>
    <cfRule type="expression" dxfId="134" priority="12">
      <formula>$N$133="BD"</formula>
    </cfRule>
  </conditionalFormatting>
  <conditionalFormatting sqref="C6:H6 B9:I9 A12:J12 A15:J15 A18:J18 A21:J21 A24:J24 A27:J27 B30:I30 B32:I32 C33:H33">
    <cfRule type="cellIs" dxfId="133" priority="182" operator="between">
      <formula>0</formula>
      <formula>$A$3</formula>
    </cfRule>
  </conditionalFormatting>
  <conditionalFormatting sqref="C6:H6 B9:I9 A12:J12 A15:J15 A18:J18 A21:J21 A24:J24 A27:J27 B30:I30 C33:H33 B32:I32">
    <cfRule type="cellIs" dxfId="132" priority="181" operator="between">
      <formula>$A$3</formula>
      <formula>$A$2</formula>
    </cfRule>
  </conditionalFormatting>
  <conditionalFormatting sqref="C6:H6 B9:I9 A12:J12 A15:J15 A18:J18 A21:J21 A24:J24 A27:J27 B30:I30 C33:H33">
    <cfRule type="cellIs" dxfId="131" priority="180" operator="between">
      <formula>$A$2</formula>
      <formula>$A$1</formula>
    </cfRule>
  </conditionalFormatting>
  <conditionalFormatting sqref="C8:H8 B11:I11 A14:J14 A17:J17 A20:J20 A23:J23 A26:J26 A29:J29 B32:I32 C35:H35">
    <cfRule type="cellIs" dxfId="130" priority="1" operator="between">
      <formula>$A$2</formula>
      <formula>$A$1</formula>
    </cfRule>
    <cfRule type="cellIs" dxfId="129" priority="179" operator="between">
      <formula>0</formula>
      <formula>$A$3</formula>
    </cfRule>
    <cfRule type="cellIs" dxfId="128" priority="178" operator="between">
      <formula>$A$3</formula>
      <formula>$A$2</formula>
    </cfRule>
  </conditionalFormatting>
  <conditionalFormatting sqref="D7">
    <cfRule type="expression" dxfId="127" priority="175">
      <formula>$N$52="UD"</formula>
    </cfRule>
    <cfRule type="expression" dxfId="126" priority="174">
      <formula>$N$52="BD"</formula>
    </cfRule>
  </conditionalFormatting>
  <conditionalFormatting sqref="D10">
    <cfRule type="expression" dxfId="125" priority="161">
      <formula>$N$59="UD"</formula>
    </cfRule>
    <cfRule type="expression" dxfId="124" priority="160">
      <formula>$N$59="BD"</formula>
    </cfRule>
  </conditionalFormatting>
  <conditionalFormatting sqref="D13">
    <cfRule type="expression" dxfId="123" priority="143">
      <formula>$N$68="UD"</formula>
    </cfRule>
    <cfRule type="expression" dxfId="122" priority="142">
      <formula>$N$68="BD"</formula>
    </cfRule>
  </conditionalFormatting>
  <conditionalFormatting sqref="D16">
    <cfRule type="expression" dxfId="121" priority="122">
      <formula>$N$78="BD"</formula>
    </cfRule>
    <cfRule type="expression" dxfId="120" priority="123">
      <formula>$N$78="UD"</formula>
    </cfRule>
  </conditionalFormatting>
  <conditionalFormatting sqref="D19">
    <cfRule type="expression" dxfId="119" priority="103">
      <formula>$N$88="UD"</formula>
    </cfRule>
    <cfRule type="expression" dxfId="118" priority="102">
      <formula>$N$88="BD"</formula>
    </cfRule>
  </conditionalFormatting>
  <conditionalFormatting sqref="D22">
    <cfRule type="expression" dxfId="117" priority="82">
      <formula>$N$98="BD"</formula>
    </cfRule>
    <cfRule type="expression" dxfId="116" priority="83">
      <formula>$N$98="UD"</formula>
    </cfRule>
  </conditionalFormatting>
  <conditionalFormatting sqref="D25">
    <cfRule type="expression" dxfId="115" priority="63">
      <formula>$N$108="UD"</formula>
    </cfRule>
    <cfRule type="expression" dxfId="114" priority="62">
      <formula>$N$108="BD"</formula>
    </cfRule>
  </conditionalFormatting>
  <conditionalFormatting sqref="D28">
    <cfRule type="expression" dxfId="113" priority="43">
      <formula>$N$118="UD"</formula>
    </cfRule>
    <cfRule type="expression" dxfId="112" priority="42">
      <formula>$N$118="BD"</formula>
    </cfRule>
  </conditionalFormatting>
  <conditionalFormatting sqref="D31">
    <cfRule type="expression" dxfId="111" priority="25">
      <formula>$N$127="UD"</formula>
    </cfRule>
    <cfRule type="expression" dxfId="110" priority="24">
      <formula>$N$127="BD"</formula>
    </cfRule>
  </conditionalFormatting>
  <conditionalFormatting sqref="D34">
    <cfRule type="expression" dxfId="109" priority="11">
      <formula>$N$134="UD"</formula>
    </cfRule>
    <cfRule type="expression" dxfId="108" priority="10">
      <formula>$N$134="BD"</formula>
    </cfRule>
  </conditionalFormatting>
  <conditionalFormatting sqref="E7">
    <cfRule type="expression" dxfId="107" priority="172">
      <formula>$N$53="BD"</formula>
    </cfRule>
    <cfRule type="expression" dxfId="106" priority="173">
      <formula>$N$53="UD"</formula>
    </cfRule>
  </conditionalFormatting>
  <conditionalFormatting sqref="E10">
    <cfRule type="expression" dxfId="105" priority="159">
      <formula>$N$60="UD"</formula>
    </cfRule>
    <cfRule type="expression" dxfId="104" priority="158">
      <formula>$N$60="BD"</formula>
    </cfRule>
  </conditionalFormatting>
  <conditionalFormatting sqref="E13">
    <cfRule type="expression" dxfId="103" priority="141">
      <formula>$N$69="UD"</formula>
    </cfRule>
    <cfRule type="expression" dxfId="102" priority="140">
      <formula>$N$69="BD"</formula>
    </cfRule>
  </conditionalFormatting>
  <conditionalFormatting sqref="E16">
    <cfRule type="expression" dxfId="101" priority="121">
      <formula>$N$79="UD"</formula>
    </cfRule>
    <cfRule type="expression" dxfId="100" priority="120">
      <formula>$N$79="BD"</formula>
    </cfRule>
  </conditionalFormatting>
  <conditionalFormatting sqref="E19">
    <cfRule type="expression" dxfId="99" priority="101">
      <formula>$N$89="UD"</formula>
    </cfRule>
    <cfRule type="expression" dxfId="98" priority="100">
      <formula>$N$89="BD"</formula>
    </cfRule>
  </conditionalFormatting>
  <conditionalFormatting sqref="E22">
    <cfRule type="expression" dxfId="97" priority="81">
      <formula>$N$99="UD"</formula>
    </cfRule>
    <cfRule type="expression" dxfId="96" priority="80">
      <formula>$N$99="BD"</formula>
    </cfRule>
  </conditionalFormatting>
  <conditionalFormatting sqref="E25">
    <cfRule type="expression" dxfId="95" priority="60">
      <formula>$N$109="BD"</formula>
    </cfRule>
    <cfRule type="expression" dxfId="94" priority="61">
      <formula>$N$109="UD"</formula>
    </cfRule>
  </conditionalFormatting>
  <conditionalFormatting sqref="E28">
    <cfRule type="expression" dxfId="93" priority="40">
      <formula>$N$119="BD"</formula>
    </cfRule>
    <cfRule type="expression" dxfId="92" priority="41">
      <formula>$N$119="UD"</formula>
    </cfRule>
  </conditionalFormatting>
  <conditionalFormatting sqref="E31">
    <cfRule type="expression" dxfId="91" priority="23">
      <formula>$N$128="UD"</formula>
    </cfRule>
    <cfRule type="expression" dxfId="90" priority="22">
      <formula>$N$128="BD"</formula>
    </cfRule>
  </conditionalFormatting>
  <conditionalFormatting sqref="E34">
    <cfRule type="expression" dxfId="89" priority="8">
      <formula>$N$135="BD"</formula>
    </cfRule>
    <cfRule type="expression" dxfId="88" priority="9">
      <formula>$N$135="UD"</formula>
    </cfRule>
  </conditionalFormatting>
  <conditionalFormatting sqref="F7">
    <cfRule type="expression" dxfId="87" priority="170">
      <formula>$N$54="BD"</formula>
    </cfRule>
    <cfRule type="expression" dxfId="86" priority="171">
      <formula>$N$54="UD"</formula>
    </cfRule>
  </conditionalFormatting>
  <conditionalFormatting sqref="F10">
    <cfRule type="expression" dxfId="85" priority="156">
      <formula>$N$61="BD"</formula>
    </cfRule>
    <cfRule type="expression" dxfId="84" priority="157">
      <formula>$N$61="UD"</formula>
    </cfRule>
  </conditionalFormatting>
  <conditionalFormatting sqref="F13">
    <cfRule type="expression" dxfId="83" priority="138">
      <formula>$N$70="BD"</formula>
    </cfRule>
    <cfRule type="expression" dxfId="82" priority="139">
      <formula>$N$70="UD"</formula>
    </cfRule>
  </conditionalFormatting>
  <conditionalFormatting sqref="F16">
    <cfRule type="expression" dxfId="81" priority="119">
      <formula>$N$80="UD"</formula>
    </cfRule>
    <cfRule type="expression" dxfId="80" priority="118">
      <formula>$N$80="BD"</formula>
    </cfRule>
  </conditionalFormatting>
  <conditionalFormatting sqref="F19">
    <cfRule type="expression" dxfId="79" priority="99">
      <formula>$N$90="UD"</formula>
    </cfRule>
    <cfRule type="expression" dxfId="78" priority="98">
      <formula>$N$90="BD"</formula>
    </cfRule>
  </conditionalFormatting>
  <conditionalFormatting sqref="F22">
    <cfRule type="expression" dxfId="77" priority="78">
      <formula>$N$100="BD"</formula>
    </cfRule>
    <cfRule type="expression" dxfId="76" priority="79">
      <formula>$N$100="UD"</formula>
    </cfRule>
  </conditionalFormatting>
  <conditionalFormatting sqref="F25">
    <cfRule type="expression" dxfId="75" priority="59">
      <formula>$N$110="UD"</formula>
    </cfRule>
    <cfRule type="expression" dxfId="74" priority="58">
      <formula>$N$110="BD"</formula>
    </cfRule>
  </conditionalFormatting>
  <conditionalFormatting sqref="F28">
    <cfRule type="expression" dxfId="73" priority="38">
      <formula>$N$120="BD"</formula>
    </cfRule>
    <cfRule type="expression" dxfId="72" priority="39">
      <formula>$N$120="UD"</formula>
    </cfRule>
  </conditionalFormatting>
  <conditionalFormatting sqref="F31">
    <cfRule type="expression" dxfId="71" priority="21">
      <formula>$N$129="UD"</formula>
    </cfRule>
    <cfRule type="expression" dxfId="70" priority="20">
      <formula>$N$129="BD"</formula>
    </cfRule>
  </conditionalFormatting>
  <conditionalFormatting sqref="F34">
    <cfRule type="expression" dxfId="69" priority="7">
      <formula>$N$136="UD"</formula>
    </cfRule>
    <cfRule type="expression" dxfId="68" priority="6">
      <formula>$N$136="BD"</formula>
    </cfRule>
  </conditionalFormatting>
  <conditionalFormatting sqref="G7">
    <cfRule type="expression" dxfId="67" priority="168">
      <formula>$N$55="BD"</formula>
    </cfRule>
    <cfRule type="expression" dxfId="66" priority="169">
      <formula>$N$55="UD"</formula>
    </cfRule>
  </conditionalFormatting>
  <conditionalFormatting sqref="G10">
    <cfRule type="expression" dxfId="65" priority="154">
      <formula>$N$62="BD"</formula>
    </cfRule>
    <cfRule type="expression" dxfId="64" priority="155">
      <formula>$N$62="UD"</formula>
    </cfRule>
  </conditionalFormatting>
  <conditionalFormatting sqref="G13">
    <cfRule type="expression" dxfId="63" priority="137">
      <formula>$N$71="UD"</formula>
    </cfRule>
    <cfRule type="expression" dxfId="62" priority="136">
      <formula>$N$71="BD"</formula>
    </cfRule>
  </conditionalFormatting>
  <conditionalFormatting sqref="G16">
    <cfRule type="expression" dxfId="61" priority="116">
      <formula>$N$81="BD"</formula>
    </cfRule>
    <cfRule type="expression" dxfId="60" priority="117">
      <formula>$N$81="UD"</formula>
    </cfRule>
  </conditionalFormatting>
  <conditionalFormatting sqref="G19">
    <cfRule type="expression" dxfId="59" priority="96">
      <formula>$N$91="BD"</formula>
    </cfRule>
    <cfRule type="expression" dxfId="58" priority="97">
      <formula>$N$91="UD"</formula>
    </cfRule>
  </conditionalFormatting>
  <conditionalFormatting sqref="G22">
    <cfRule type="expression" dxfId="57" priority="76">
      <formula>$N$101="BD"</formula>
    </cfRule>
    <cfRule type="expression" dxfId="56" priority="77">
      <formula>$N$101="UD"</formula>
    </cfRule>
  </conditionalFormatting>
  <conditionalFormatting sqref="G25">
    <cfRule type="expression" dxfId="55" priority="57">
      <formula>$N$111="UD"</formula>
    </cfRule>
    <cfRule type="expression" dxfId="54" priority="56">
      <formula>$N$111="BD"</formula>
    </cfRule>
  </conditionalFormatting>
  <conditionalFormatting sqref="G28">
    <cfRule type="expression" dxfId="53" priority="37">
      <formula>$N$121="UD"</formula>
    </cfRule>
    <cfRule type="expression" dxfId="52" priority="36">
      <formula>$N$121="BD"</formula>
    </cfRule>
  </conditionalFormatting>
  <conditionalFormatting sqref="G31">
    <cfRule type="expression" dxfId="51" priority="19">
      <formula>$N$130="UD"</formula>
    </cfRule>
    <cfRule type="expression" dxfId="50" priority="18">
      <formula>$N$130="BD"</formula>
    </cfRule>
  </conditionalFormatting>
  <conditionalFormatting sqref="G34">
    <cfRule type="expression" dxfId="49" priority="4">
      <formula>$N$137="BD"</formula>
    </cfRule>
    <cfRule type="expression" dxfId="48" priority="5">
      <formula>$N$137="UD"</formula>
    </cfRule>
  </conditionalFormatting>
  <conditionalFormatting sqref="H7">
    <cfRule type="expression" dxfId="47" priority="167">
      <formula>$N$56="UD"</formula>
    </cfRule>
    <cfRule type="expression" dxfId="46" priority="166">
      <formula>$N$56="BD"</formula>
    </cfRule>
  </conditionalFormatting>
  <conditionalFormatting sqref="H10">
    <cfRule type="expression" dxfId="45" priority="152">
      <formula>$N$63="BD"</formula>
    </cfRule>
    <cfRule type="expression" dxfId="44" priority="153">
      <formula>$N$63="UD"</formula>
    </cfRule>
  </conditionalFormatting>
  <conditionalFormatting sqref="H13">
    <cfRule type="expression" dxfId="43" priority="134">
      <formula>$N$72="BD"</formula>
    </cfRule>
    <cfRule type="expression" dxfId="42" priority="135">
      <formula>$N$72="UD"</formula>
    </cfRule>
  </conditionalFormatting>
  <conditionalFormatting sqref="H16">
    <cfRule type="expression" dxfId="41" priority="114">
      <formula>$N$82="BD"</formula>
    </cfRule>
    <cfRule type="expression" dxfId="40" priority="115">
      <formula>$N$82="UD"</formula>
    </cfRule>
  </conditionalFormatting>
  <conditionalFormatting sqref="H19">
    <cfRule type="expression" dxfId="39" priority="95">
      <formula>$N$92="UD"</formula>
    </cfRule>
    <cfRule type="expression" dxfId="38" priority="94">
      <formula>$N$92="BD"</formula>
    </cfRule>
  </conditionalFormatting>
  <conditionalFormatting sqref="H22">
    <cfRule type="expression" dxfId="37" priority="74">
      <formula>$N$102="BD"</formula>
    </cfRule>
    <cfRule type="expression" dxfId="36" priority="75">
      <formula>$N$102="UD"</formula>
    </cfRule>
  </conditionalFormatting>
  <conditionalFormatting sqref="H25">
    <cfRule type="expression" dxfId="35" priority="55">
      <formula>$N$112="UD"</formula>
    </cfRule>
    <cfRule type="expression" dxfId="34" priority="54">
      <formula>$N$112="BD"</formula>
    </cfRule>
  </conditionalFormatting>
  <conditionalFormatting sqref="H28">
    <cfRule type="expression" dxfId="33" priority="35">
      <formula>$N$122="UD"</formula>
    </cfRule>
    <cfRule type="expression" dxfId="32" priority="34">
      <formula>$N$122="BD"</formula>
    </cfRule>
  </conditionalFormatting>
  <conditionalFormatting sqref="H31">
    <cfRule type="expression" dxfId="31" priority="17">
      <formula>$N$131="UD"</formula>
    </cfRule>
    <cfRule type="expression" dxfId="30" priority="16">
      <formula>$N$131="BD"</formula>
    </cfRule>
  </conditionalFormatting>
  <conditionalFormatting sqref="H34">
    <cfRule type="expression" dxfId="29" priority="2">
      <formula>$N$138="BD"</formula>
    </cfRule>
    <cfRule type="expression" dxfId="28" priority="3">
      <formula>$N$138="UD"</formula>
    </cfRule>
  </conditionalFormatting>
  <conditionalFormatting sqref="I10">
    <cfRule type="expression" dxfId="27" priority="150">
      <formula>$N$64="BD"</formula>
    </cfRule>
    <cfRule type="expression" dxfId="26" priority="151">
      <formula>$N$64="UD"</formula>
    </cfRule>
  </conditionalFormatting>
  <conditionalFormatting sqref="I13">
    <cfRule type="expression" dxfId="25" priority="132">
      <formula>$N$73="BD"</formula>
    </cfRule>
    <cfRule type="expression" dxfId="24" priority="133">
      <formula>$N$73="UD"</formula>
    </cfRule>
  </conditionalFormatting>
  <conditionalFormatting sqref="I16">
    <cfRule type="expression" dxfId="23" priority="113">
      <formula>$N$83="UD"</formula>
    </cfRule>
    <cfRule type="expression" dxfId="22" priority="112">
      <formula>$N$83="BD"</formula>
    </cfRule>
  </conditionalFormatting>
  <conditionalFormatting sqref="I19">
    <cfRule type="expression" dxfId="21" priority="92">
      <formula>$N$93="BD"</formula>
    </cfRule>
    <cfRule type="expression" dxfId="20" priority="93">
      <formula>$N$93="UD"</formula>
    </cfRule>
  </conditionalFormatting>
  <conditionalFormatting sqref="I22">
    <cfRule type="expression" dxfId="19" priority="72">
      <formula>$N$103="BD"</formula>
    </cfRule>
    <cfRule type="expression" dxfId="18" priority="73">
      <formula>$N$103="UD"</formula>
    </cfRule>
  </conditionalFormatting>
  <conditionalFormatting sqref="I25">
    <cfRule type="expression" dxfId="17" priority="53">
      <formula>$N$113="UD"</formula>
    </cfRule>
    <cfRule type="expression" dxfId="16" priority="52">
      <formula>$N$113="BD"</formula>
    </cfRule>
  </conditionalFormatting>
  <conditionalFormatting sqref="I28">
    <cfRule type="expression" dxfId="15" priority="32">
      <formula>$N$123="BD"</formula>
    </cfRule>
    <cfRule type="expression" dxfId="14" priority="33">
      <formula>$N$123="UD"</formula>
    </cfRule>
  </conditionalFormatting>
  <conditionalFormatting sqref="I31">
    <cfRule type="expression" dxfId="13" priority="15">
      <formula>$N$132="UD"</formula>
    </cfRule>
    <cfRule type="expression" dxfId="12" priority="14">
      <formula>$N$132="BD"</formula>
    </cfRule>
  </conditionalFormatting>
  <conditionalFormatting sqref="J13">
    <cfRule type="expression" dxfId="11" priority="130">
      <formula>$N$74="BD"</formula>
    </cfRule>
    <cfRule type="expression" dxfId="10" priority="131">
      <formula>$N$74="UD"</formula>
    </cfRule>
  </conditionalFormatting>
  <conditionalFormatting sqref="J16">
    <cfRule type="expression" dxfId="9" priority="111">
      <formula>$N$84="UD"</formula>
    </cfRule>
    <cfRule type="expression" dxfId="8" priority="110">
      <formula>$N$84="BD"</formula>
    </cfRule>
  </conditionalFormatting>
  <conditionalFormatting sqref="J19">
    <cfRule type="expression" dxfId="7" priority="90">
      <formula>$N$94="BD"</formula>
    </cfRule>
    <cfRule type="expression" dxfId="6" priority="91">
      <formula>$N$94="UD"</formula>
    </cfRule>
  </conditionalFormatting>
  <conditionalFormatting sqref="J22">
    <cfRule type="expression" dxfId="5" priority="71">
      <formula>$N$104="UD"</formula>
    </cfRule>
    <cfRule type="expression" dxfId="4" priority="70">
      <formula>$N$104="BD"</formula>
    </cfRule>
  </conditionalFormatting>
  <conditionalFormatting sqref="J25">
    <cfRule type="expression" dxfId="3" priority="51">
      <formula>$N$114="UD"</formula>
    </cfRule>
    <cfRule type="expression" dxfId="2" priority="50">
      <formula>$N$114="BD"</formula>
    </cfRule>
  </conditionalFormatting>
  <conditionalFormatting sqref="J28">
    <cfRule type="expression" dxfId="1" priority="31">
      <formula>$N$124="UD"</formula>
    </cfRule>
    <cfRule type="expression" dxfId="0" priority="30">
      <formula>$N$124="BD"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C16"/>
  <sheetViews>
    <sheetView workbookViewId="0"/>
  </sheetViews>
  <sheetFormatPr defaultRowHeight="15" x14ac:dyDescent="0.25"/>
  <cols>
    <col min="1" max="1" width="8.85546875" customWidth="1"/>
    <col min="2" max="3" width="8.85546875" style="41" customWidth="1"/>
  </cols>
  <sheetData>
    <row r="1" spans="1:3" x14ac:dyDescent="0.25">
      <c r="A1" t="str">
        <f>_xlfn.CONCAT("WaferID=5L0F6E5-",IF(W!C2&lt;&gt;"",W!C2,"12345"),"_",IF(W!E2&lt;&gt;"",IF(LEN(W!E2)=1,"0"&amp;W!E2,W!E2),"67"))</f>
        <v>WaferID=5L0F6E5-93376_07</v>
      </c>
      <c r="B1" s="45"/>
      <c r="C1" s="45"/>
    </row>
    <row r="2" spans="1:3" x14ac:dyDescent="0.25">
      <c r="A2" t="s">
        <v>135</v>
      </c>
      <c r="C2" s="45"/>
    </row>
    <row r="3" spans="1:3" x14ac:dyDescent="0.25">
      <c r="A3" t="s">
        <v>136</v>
      </c>
    </row>
    <row r="4" spans="1:3" x14ac:dyDescent="0.25">
      <c r="A4" t="s">
        <v>137</v>
      </c>
    </row>
    <row r="5" spans="1:3" x14ac:dyDescent="0.25">
      <c r="A5" t="s">
        <v>138</v>
      </c>
    </row>
    <row r="6" spans="1:3" x14ac:dyDescent="0.25">
      <c r="A6" t="str">
        <f ca="1">_xlfn.CONCAT("BinA=",COUNTIF(W!AA52:AA139,"A"))</f>
        <v>BinA=52</v>
      </c>
    </row>
    <row r="7" spans="1:3" x14ac:dyDescent="0.25">
      <c r="A7" s="46" t="str">
        <f ca="1">IF(W!C2="","",_xlfn.CONCAT("..",W!AA52,W!AA53,W!AA54,W!AA55,W!AA56,W!AA57,".."))</f>
        <v>..BABABC..</v>
      </c>
    </row>
    <row r="8" spans="1:3" x14ac:dyDescent="0.25">
      <c r="A8" s="46" t="str">
        <f ca="1">IF(W!C2="","",_xlfn.CONCAT(".",W!AA58,W!AA59,W!AA60,W!AA61,W!AA62,W!AA63,W!AA64,W!AA65,"."))</f>
        <v>.AABAAABA.</v>
      </c>
    </row>
    <row r="9" spans="1:3" x14ac:dyDescent="0.25">
      <c r="A9" s="46" t="str">
        <f ca="1">_xlfn.CONCAT(W!AA66,W!AA67,W!AA68,W!AA69,W!AA70,W!AA71,W!AA72,W!AA73,W!AA74,W!AA75)</f>
        <v>BABBAAAAAC</v>
      </c>
    </row>
    <row r="10" spans="1:3" x14ac:dyDescent="0.25">
      <c r="A10" s="46" t="str">
        <f ca="1">_xlfn.CONCAT(W!AA76,W!AA77,W!AA78,W!AA79,W!AA80,W!AA81,W!AA82,W!AA83,W!AA84,W!AA85)</f>
        <v>AABAABABAA</v>
      </c>
    </row>
    <row r="11" spans="1:3" x14ac:dyDescent="0.25">
      <c r="A11" s="46" t="str">
        <f ca="1">_xlfn.CONCAT(W!AA86,W!AA87,W!AA88,W!AA89,W!AA90,W!AA91,W!AA92,W!AA93,W!AA94,W!AA95)</f>
        <v>BAABBBAABA</v>
      </c>
    </row>
    <row r="12" spans="1:3" x14ac:dyDescent="0.25">
      <c r="A12" s="46" t="str">
        <f ca="1">_xlfn.CONCAT(W!AA96,W!AA97,W!AA98,W!AA99,W!AA100,W!AA101,W!AA102,W!AA103,W!AA104,W!AA105)</f>
        <v>AABAABABBB</v>
      </c>
    </row>
    <row r="13" spans="1:3" x14ac:dyDescent="0.25">
      <c r="A13" s="46" t="str">
        <f ca="1">_xlfn.CONCAT(W!AA106,W!AA107,W!AA108,W!AA109,W!AA110,W!AA111,W!AA112,W!AA113,W!AA114,W!AA115)</f>
        <v>AABBBABBAA</v>
      </c>
    </row>
    <row r="14" spans="1:3" x14ac:dyDescent="0.25">
      <c r="A14" s="46" t="str">
        <f ca="1">_xlfn.CONCAT(W!AA116,W!AA117,W!AA118,W!AA119,W!AA120,W!AA121,W!AA122,W!AA123,W!AA124,W!AA125)</f>
        <v>AABAABAAAA</v>
      </c>
    </row>
    <row r="15" spans="1:3" x14ac:dyDescent="0.25">
      <c r="A15" s="46" t="str">
        <f ca="1">IF(W!C2="","",_xlfn.CONCAT(".",W!AA126,W!AA127,W!AA128,W!AA129,W!AA130,W!AA131,W!AA132,W!AA133,"."))</f>
        <v>.AACBAAAA.</v>
      </c>
    </row>
    <row r="16" spans="1:3" x14ac:dyDescent="0.25">
      <c r="A16" s="46" t="str">
        <f ca="1">IF(W!C2="","",_xlfn.CONCAT("..",W!AA134,W!AA135,W!AA136,W!AA137,W!AA138,W!AA139,".."))</f>
        <v>..ABBABB..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</vt:lpstr>
      <vt:lpstr>E1E2-E2E1</vt:lpstr>
      <vt:lpstr>txtformat</vt:lpstr>
      <vt:lpstr>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Templeton</dc:creator>
  <cp:lastModifiedBy>Leonardo Viana</cp:lastModifiedBy>
  <cp:lastPrinted>2023-05-23T20:53:04Z</cp:lastPrinted>
  <dcterms:created xsi:type="dcterms:W3CDTF">2023-05-02T19:57:00Z</dcterms:created>
  <dcterms:modified xsi:type="dcterms:W3CDTF">2024-09-11T14:33:12Z</dcterms:modified>
</cp:coreProperties>
</file>