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onardo.viana\OneDrive - Ideal Power Inc\Desktop\excel_replica\"/>
    </mc:Choice>
  </mc:AlternateContent>
  <xr:revisionPtr revIDLastSave="0" documentId="8_{E3D7FEB4-25B3-420E-BABA-E9A6A2431931}" xr6:coauthVersionLast="47" xr6:coauthVersionMax="47" xr10:uidLastSave="{00000000-0000-0000-0000-000000000000}"/>
  <bookViews>
    <workbookView xWindow="-120" yWindow="-120" windowWidth="29040" windowHeight="15720" xr2:uid="{00498161-3E93-42AC-9CD5-6253719BCC38}"/>
  </bookViews>
  <sheets>
    <sheet name="W" sheetId="1" r:id="rId1"/>
    <sheet name="E1E2-E2E1" sheetId="3" r:id="rId2"/>
    <sheet name="txtformat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5" i="1" l="1"/>
  <c r="C44" i="1"/>
  <c r="H35" i="3" l="1"/>
  <c r="G35" i="3"/>
  <c r="F35" i="3"/>
  <c r="E35" i="3"/>
  <c r="J32" i="3"/>
  <c r="I32" i="3"/>
  <c r="H32" i="3"/>
  <c r="G32" i="3"/>
  <c r="F32" i="3"/>
  <c r="E32" i="3"/>
  <c r="D32" i="3"/>
  <c r="C32" i="3"/>
  <c r="K29" i="3"/>
  <c r="J29" i="3"/>
  <c r="I29" i="3"/>
  <c r="H29" i="3"/>
  <c r="G29" i="3"/>
  <c r="F29" i="3"/>
  <c r="E29" i="3"/>
  <c r="D29" i="3"/>
  <c r="C29" i="3"/>
  <c r="B29" i="3"/>
  <c r="K26" i="3"/>
  <c r="J26" i="3"/>
  <c r="I26" i="3"/>
  <c r="H26" i="3"/>
  <c r="G26" i="3"/>
  <c r="F26" i="3"/>
  <c r="E26" i="3"/>
  <c r="D26" i="3"/>
  <c r="C26" i="3"/>
  <c r="B26" i="3"/>
  <c r="L23" i="3"/>
  <c r="K23" i="3"/>
  <c r="J23" i="3"/>
  <c r="I23" i="3"/>
  <c r="H23" i="3"/>
  <c r="G23" i="3"/>
  <c r="F23" i="3"/>
  <c r="E23" i="3"/>
  <c r="D23" i="3"/>
  <c r="C23" i="3"/>
  <c r="B23" i="3"/>
  <c r="A23" i="3"/>
  <c r="L20" i="3"/>
  <c r="K20" i="3"/>
  <c r="J20" i="3"/>
  <c r="I20" i="3"/>
  <c r="H20" i="3"/>
  <c r="G20" i="3"/>
  <c r="F20" i="3"/>
  <c r="E20" i="3"/>
  <c r="D20" i="3"/>
  <c r="C20" i="3"/>
  <c r="B20" i="3"/>
  <c r="A20" i="3"/>
  <c r="K17" i="3"/>
  <c r="J17" i="3"/>
  <c r="I17" i="3"/>
  <c r="H17" i="3"/>
  <c r="G17" i="3"/>
  <c r="F17" i="3"/>
  <c r="E17" i="3"/>
  <c r="D17" i="3"/>
  <c r="C17" i="3"/>
  <c r="B17" i="3"/>
  <c r="K14" i="3"/>
  <c r="J14" i="3"/>
  <c r="I14" i="3"/>
  <c r="H14" i="3"/>
  <c r="G14" i="3"/>
  <c r="F14" i="3"/>
  <c r="E14" i="3"/>
  <c r="D14" i="3"/>
  <c r="C14" i="3"/>
  <c r="B14" i="3"/>
  <c r="J11" i="3"/>
  <c r="I11" i="3"/>
  <c r="H11" i="3"/>
  <c r="G11" i="3"/>
  <c r="F11" i="3"/>
  <c r="E11" i="3"/>
  <c r="D11" i="3"/>
  <c r="C11" i="3"/>
  <c r="H8" i="3"/>
  <c r="G8" i="3"/>
  <c r="F8" i="3"/>
  <c r="E8" i="3"/>
  <c r="N139" i="3"/>
  <c r="B44" i="3"/>
  <c r="B43" i="3"/>
  <c r="B42" i="3"/>
  <c r="B41" i="3"/>
  <c r="B40" i="3"/>
  <c r="B39" i="3"/>
  <c r="H33" i="3"/>
  <c r="G33" i="3"/>
  <c r="F33" i="3"/>
  <c r="E33" i="3"/>
  <c r="J30" i="3"/>
  <c r="I30" i="3"/>
  <c r="H30" i="3"/>
  <c r="G30" i="3"/>
  <c r="F30" i="3"/>
  <c r="E30" i="3"/>
  <c r="D30" i="3"/>
  <c r="C30" i="3"/>
  <c r="K27" i="3"/>
  <c r="J27" i="3"/>
  <c r="I27" i="3"/>
  <c r="H27" i="3"/>
  <c r="G27" i="3"/>
  <c r="F27" i="3"/>
  <c r="E27" i="3"/>
  <c r="D27" i="3"/>
  <c r="C27" i="3"/>
  <c r="B27" i="3"/>
  <c r="K24" i="3"/>
  <c r="J24" i="3"/>
  <c r="I24" i="3"/>
  <c r="H24" i="3"/>
  <c r="G24" i="3"/>
  <c r="F24" i="3"/>
  <c r="E24" i="3"/>
  <c r="D24" i="3"/>
  <c r="C24" i="3"/>
  <c r="B24" i="3"/>
  <c r="L21" i="3"/>
  <c r="K21" i="3"/>
  <c r="J21" i="3"/>
  <c r="I21" i="3"/>
  <c r="H21" i="3"/>
  <c r="G21" i="3"/>
  <c r="F21" i="3"/>
  <c r="E21" i="3"/>
  <c r="D21" i="3"/>
  <c r="C21" i="3"/>
  <c r="B21" i="3"/>
  <c r="A21" i="3"/>
  <c r="L18" i="3"/>
  <c r="K18" i="3"/>
  <c r="J18" i="3"/>
  <c r="I18" i="3"/>
  <c r="H18" i="3"/>
  <c r="G18" i="3"/>
  <c r="F18" i="3"/>
  <c r="E18" i="3"/>
  <c r="D18" i="3"/>
  <c r="C18" i="3"/>
  <c r="B18" i="3"/>
  <c r="A18" i="3"/>
  <c r="K15" i="3"/>
  <c r="J15" i="3"/>
  <c r="I15" i="3"/>
  <c r="H15" i="3"/>
  <c r="G15" i="3"/>
  <c r="F15" i="3"/>
  <c r="E15" i="3"/>
  <c r="D15" i="3"/>
  <c r="C15" i="3"/>
  <c r="B15" i="3"/>
  <c r="K12" i="3"/>
  <c r="J12" i="3"/>
  <c r="I12" i="3"/>
  <c r="H12" i="3"/>
  <c r="G12" i="3"/>
  <c r="F12" i="3"/>
  <c r="E12" i="3"/>
  <c r="D12" i="3"/>
  <c r="C12" i="3"/>
  <c r="B12" i="3"/>
  <c r="J9" i="3"/>
  <c r="I9" i="3"/>
  <c r="H9" i="3"/>
  <c r="G9" i="3"/>
  <c r="F9" i="3"/>
  <c r="E9" i="3"/>
  <c r="D9" i="3"/>
  <c r="C9" i="3"/>
  <c r="H6" i="3"/>
  <c r="G6" i="3"/>
  <c r="F6" i="3"/>
  <c r="E6" i="3"/>
  <c r="F7" i="3"/>
  <c r="G7" i="3" s="1"/>
  <c r="H7" i="3" s="1"/>
  <c r="C10" i="3" s="1"/>
  <c r="D10" i="3" s="1"/>
  <c r="E10" i="3" s="1"/>
  <c r="F10" i="3" s="1"/>
  <c r="G10" i="3" s="1"/>
  <c r="H10" i="3" s="1"/>
  <c r="I10" i="3" s="1"/>
  <c r="J10" i="3" s="1"/>
  <c r="B13" i="3" s="1"/>
  <c r="C13" i="3" s="1"/>
  <c r="D13" i="3" s="1"/>
  <c r="E13" i="3" s="1"/>
  <c r="F13" i="3" s="1"/>
  <c r="G13" i="3" s="1"/>
  <c r="H13" i="3" s="1"/>
  <c r="I13" i="3" s="1"/>
  <c r="J13" i="3" s="1"/>
  <c r="K13" i="3" s="1"/>
  <c r="B16" i="3" s="1"/>
  <c r="C16" i="3" s="1"/>
  <c r="D16" i="3" s="1"/>
  <c r="E16" i="3" s="1"/>
  <c r="F16" i="3" s="1"/>
  <c r="G16" i="3" s="1"/>
  <c r="H16" i="3" s="1"/>
  <c r="I16" i="3" s="1"/>
  <c r="J16" i="3" s="1"/>
  <c r="K16" i="3" s="1"/>
  <c r="A19" i="3" s="1"/>
  <c r="B19" i="3" s="1"/>
  <c r="C19" i="3" s="1"/>
  <c r="D19" i="3" s="1"/>
  <c r="E19" i="3" s="1"/>
  <c r="F19" i="3" s="1"/>
  <c r="G19" i="3" s="1"/>
  <c r="H19" i="3" s="1"/>
  <c r="I19" i="3" s="1"/>
  <c r="J19" i="3" s="1"/>
  <c r="K19" i="3" s="1"/>
  <c r="L19" i="3" s="1"/>
  <c r="A22" i="3" s="1"/>
  <c r="B22" i="3" s="1"/>
  <c r="C22" i="3" s="1"/>
  <c r="D22" i="3" s="1"/>
  <c r="E22" i="3" s="1"/>
  <c r="F22" i="3" s="1"/>
  <c r="G22" i="3" s="1"/>
  <c r="H22" i="3" s="1"/>
  <c r="I22" i="3" s="1"/>
  <c r="J22" i="3" s="1"/>
  <c r="K22" i="3" s="1"/>
  <c r="B25" i="3"/>
  <c r="C25" i="3" s="1"/>
  <c r="D25" i="3" s="1"/>
  <c r="E25" i="3" s="1"/>
  <c r="F25" i="3" s="1"/>
  <c r="G25" i="3" s="1"/>
  <c r="H25" i="3" s="1"/>
  <c r="I25" i="3" s="1"/>
  <c r="J25" i="3" s="1"/>
  <c r="K25" i="3" s="1"/>
  <c r="B28" i="3" s="1"/>
  <c r="C28" i="3" s="1"/>
  <c r="D28" i="3" s="1"/>
  <c r="E28" i="3" s="1"/>
  <c r="F28" i="3" s="1"/>
  <c r="G28" i="3" s="1"/>
  <c r="H28" i="3" s="1"/>
  <c r="I28" i="3" s="1"/>
  <c r="J28" i="3" s="1"/>
  <c r="K28" i="3" s="1"/>
  <c r="C31" i="3" s="1"/>
  <c r="D31" i="3" s="1"/>
  <c r="E31" i="3" s="1"/>
  <c r="F31" i="3" s="1"/>
  <c r="G31" i="3" s="1"/>
  <c r="H31" i="3" s="1"/>
  <c r="I31" i="3" s="1"/>
  <c r="J31" i="3" s="1"/>
  <c r="E34" i="3" s="1"/>
  <c r="F34" i="3" s="1"/>
  <c r="G34" i="3" s="1"/>
  <c r="H34" i="3" s="1"/>
  <c r="A3" i="3"/>
  <c r="A2" i="3"/>
  <c r="A1" i="3"/>
  <c r="A15" i="2"/>
  <c r="A16" i="2"/>
  <c r="A8" i="2"/>
  <c r="A7" i="2"/>
  <c r="A1" i="2"/>
  <c r="T41" i="1"/>
  <c r="T40" i="1"/>
  <c r="G54" i="1" a="1"/>
  <c r="G53" i="1" a="1"/>
  <c r="G55" i="1" a="1"/>
  <c r="G52" i="1" a="1"/>
  <c r="F55" i="1" a="1"/>
  <c r="F52" i="1" a="1"/>
  <c r="F54" i="1" a="1"/>
  <c r="F53" i="1" a="1"/>
  <c r="G53" i="1" l="1"/>
  <c r="G55" i="1"/>
  <c r="G54" i="1"/>
  <c r="G52" i="1"/>
  <c r="F55" i="1"/>
  <c r="F53" i="1"/>
  <c r="F54" i="1"/>
  <c r="F52" i="1"/>
  <c r="O26" i="1"/>
  <c r="P26" i="1" s="1"/>
  <c r="Q26" i="1" s="1"/>
  <c r="R26" i="1" s="1"/>
  <c r="S26" i="1" s="1"/>
  <c r="T26" i="1" s="1"/>
  <c r="U26" i="1" s="1"/>
  <c r="V26" i="1" s="1"/>
  <c r="W26" i="1" s="1"/>
  <c r="X26" i="1" s="1"/>
  <c r="R35" i="1"/>
  <c r="S35" i="1" s="1"/>
  <c r="T35" i="1" s="1"/>
  <c r="U35" i="1" s="1"/>
  <c r="P32" i="1"/>
  <c r="Q32" i="1" s="1"/>
  <c r="R32" i="1" s="1"/>
  <c r="S32" i="1" s="1"/>
  <c r="T32" i="1" s="1"/>
  <c r="U32" i="1" s="1"/>
  <c r="V32" i="1" s="1"/>
  <c r="W32" i="1" s="1"/>
  <c r="O29" i="1"/>
  <c r="P29" i="1" s="1"/>
  <c r="Q29" i="1" s="1"/>
  <c r="R29" i="1" s="1"/>
  <c r="S29" i="1" s="1"/>
  <c r="T29" i="1" s="1"/>
  <c r="U29" i="1" s="1"/>
  <c r="V29" i="1" s="1"/>
  <c r="W29" i="1" s="1"/>
  <c r="X29" i="1" s="1"/>
  <c r="N23" i="1"/>
  <c r="O23" i="1" s="1"/>
  <c r="P23" i="1" s="1"/>
  <c r="Q23" i="1" s="1"/>
  <c r="R23" i="1" s="1"/>
  <c r="S23" i="1" s="1"/>
  <c r="T23" i="1" s="1"/>
  <c r="U23" i="1" s="1"/>
  <c r="V23" i="1" s="1"/>
  <c r="W23" i="1" s="1"/>
  <c r="X23" i="1" s="1"/>
  <c r="Y23" i="1" s="1"/>
  <c r="N20" i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O17" i="1"/>
  <c r="P17" i="1" s="1"/>
  <c r="Q17" i="1" s="1"/>
  <c r="R17" i="1" s="1"/>
  <c r="S17" i="1" s="1"/>
  <c r="T17" i="1" s="1"/>
  <c r="U17" i="1" s="1"/>
  <c r="V17" i="1" s="1"/>
  <c r="W17" i="1" s="1"/>
  <c r="X17" i="1" s="1"/>
  <c r="O14" i="1"/>
  <c r="P14" i="1" s="1"/>
  <c r="Q14" i="1" s="1"/>
  <c r="R14" i="1" s="1"/>
  <c r="S14" i="1" s="1"/>
  <c r="T14" i="1" s="1"/>
  <c r="U14" i="1" s="1"/>
  <c r="V14" i="1" s="1"/>
  <c r="W14" i="1" s="1"/>
  <c r="X14" i="1" s="1"/>
  <c r="P11" i="1"/>
  <c r="Q11" i="1" s="1"/>
  <c r="P10" i="1"/>
  <c r="Q10" i="1" s="1"/>
  <c r="R10" i="1" s="1"/>
  <c r="S10" i="1" s="1"/>
  <c r="T10" i="1" s="1"/>
  <c r="U10" i="1" s="1"/>
  <c r="V10" i="1" s="1"/>
  <c r="W10" i="1" s="1"/>
  <c r="D54" i="1"/>
  <c r="D55" i="1" s="1"/>
  <c r="D57" i="1" s="1"/>
  <c r="D58" i="1" s="1"/>
  <c r="D59" i="1" s="1"/>
  <c r="D60" i="1" s="1"/>
  <c r="D61" i="1" s="1"/>
  <c r="D62" i="1" s="1"/>
  <c r="D63" i="1" s="1"/>
  <c r="D65" i="1" s="1"/>
  <c r="D66" i="1" s="1"/>
  <c r="D67" i="1" s="1"/>
  <c r="D68" i="1" s="1"/>
  <c r="D69" i="1" s="1"/>
  <c r="D70" i="1" s="1"/>
  <c r="D71" i="1" s="1"/>
  <c r="D72" i="1" s="1"/>
  <c r="D73" i="1" s="1"/>
  <c r="D75" i="1" s="1"/>
  <c r="D76" i="1" s="1"/>
  <c r="D77" i="1" s="1"/>
  <c r="D78" i="1" s="1"/>
  <c r="D79" i="1" s="1"/>
  <c r="D80" i="1" s="1"/>
  <c r="D81" i="1" s="1"/>
  <c r="D82" i="1" s="1"/>
  <c r="D83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9" i="1" s="1"/>
  <c r="D110" i="1" s="1"/>
  <c r="D111" i="1" s="1"/>
  <c r="D112" i="1" s="1"/>
  <c r="D113" i="1" s="1"/>
  <c r="D114" i="1" s="1"/>
  <c r="D115" i="1" s="1"/>
  <c r="D116" i="1" s="1"/>
  <c r="D117" i="1" s="1"/>
  <c r="D119" i="1" s="1"/>
  <c r="D120" i="1" s="1"/>
  <c r="D121" i="1" s="1"/>
  <c r="D122" i="1" s="1"/>
  <c r="D123" i="1" s="1"/>
  <c r="D124" i="1" s="1"/>
  <c r="D125" i="1" s="1"/>
  <c r="D126" i="1" s="1"/>
  <c r="D127" i="1" s="1"/>
  <c r="D129" i="1" s="1"/>
  <c r="D130" i="1" s="1"/>
  <c r="D131" i="1" s="1"/>
  <c r="D132" i="1" s="1"/>
  <c r="D133" i="1" s="1"/>
  <c r="D134" i="1" s="1"/>
  <c r="D135" i="1" s="1"/>
  <c r="D137" i="1" s="1"/>
  <c r="D138" i="1" s="1"/>
  <c r="D139" i="1" s="1"/>
  <c r="C10" i="1"/>
  <c r="G7" i="1"/>
  <c r="H7" i="1"/>
  <c r="F7" i="1"/>
  <c r="A52" i="1"/>
  <c r="B52" i="1"/>
  <c r="A38" i="1"/>
  <c r="C4" i="1"/>
  <c r="G56" i="1" a="1"/>
  <c r="F56" i="1" a="1"/>
  <c r="N52" i="1" l="1"/>
  <c r="N51" i="3" s="1"/>
  <c r="N54" i="1"/>
  <c r="N53" i="3" s="1"/>
  <c r="N53" i="1"/>
  <c r="N52" i="3" s="1"/>
  <c r="N55" i="1"/>
  <c r="N54" i="3" s="1"/>
  <c r="G56" i="1"/>
  <c r="F56" i="1"/>
  <c r="R11" i="1"/>
  <c r="S11" i="1" s="1"/>
  <c r="T11" i="1" s="1"/>
  <c r="U11" i="1" s="1"/>
  <c r="V11" i="1" s="1"/>
  <c r="W11" i="1" s="1"/>
  <c r="I52" i="1"/>
  <c r="D10" i="1"/>
  <c r="H55" i="1"/>
  <c r="H54" i="1"/>
  <c r="I54" i="1"/>
  <c r="I53" i="1"/>
  <c r="H53" i="1"/>
  <c r="I55" i="1"/>
  <c r="F57" i="1" a="1"/>
  <c r="G57" i="1" a="1"/>
  <c r="N56" i="1" l="1"/>
  <c r="N55" i="3" s="1"/>
  <c r="F57" i="1"/>
  <c r="G57" i="1"/>
  <c r="I57" i="1" s="1"/>
  <c r="E10" i="1"/>
  <c r="H52" i="1"/>
  <c r="J53" i="1"/>
  <c r="J54" i="1"/>
  <c r="J55" i="1"/>
  <c r="H56" i="1"/>
  <c r="I56" i="1"/>
  <c r="F58" i="1" a="1"/>
  <c r="G58" i="1" a="1"/>
  <c r="N57" i="1" l="1"/>
  <c r="N56" i="3" s="1"/>
  <c r="H57" i="1"/>
  <c r="J57" i="1" s="1"/>
  <c r="J52" i="1"/>
  <c r="G58" i="1"/>
  <c r="I58" i="1" s="1"/>
  <c r="F58" i="1"/>
  <c r="F10" i="1"/>
  <c r="J56" i="1"/>
  <c r="F59" i="1" a="1"/>
  <c r="G59" i="1" a="1"/>
  <c r="H58" i="1" l="1"/>
  <c r="J58" i="1" s="1"/>
  <c r="N58" i="1"/>
  <c r="N57" i="3" s="1"/>
  <c r="F59" i="1"/>
  <c r="G59" i="1"/>
  <c r="I59" i="1" s="1"/>
  <c r="G10" i="1"/>
  <c r="F60" i="1" a="1"/>
  <c r="G60" i="1" a="1"/>
  <c r="N59" i="1" l="1"/>
  <c r="N58" i="3" s="1"/>
  <c r="H59" i="1"/>
  <c r="J59" i="1" s="1"/>
  <c r="G60" i="1"/>
  <c r="I60" i="1" s="1"/>
  <c r="F60" i="1"/>
  <c r="H10" i="1"/>
  <c r="F61" i="1" a="1"/>
  <c r="G61" i="1" a="1"/>
  <c r="H60" i="1" l="1"/>
  <c r="J60" i="1" s="1"/>
  <c r="N60" i="1"/>
  <c r="N59" i="3" s="1"/>
  <c r="F61" i="1"/>
  <c r="G61" i="1"/>
  <c r="I61" i="1" s="1"/>
  <c r="I10" i="1"/>
  <c r="F62" i="1" a="1"/>
  <c r="G62" i="1" a="1"/>
  <c r="H61" i="1" l="1"/>
  <c r="J61" i="1" s="1"/>
  <c r="N61" i="1"/>
  <c r="N60" i="3" s="1"/>
  <c r="G62" i="1"/>
  <c r="I62" i="1" s="1"/>
  <c r="F62" i="1"/>
  <c r="J10" i="1"/>
  <c r="F63" i="1" a="1"/>
  <c r="G63" i="1" a="1"/>
  <c r="H62" i="1" l="1"/>
  <c r="J62" i="1" s="1"/>
  <c r="N62" i="1"/>
  <c r="N61" i="3" s="1"/>
  <c r="F63" i="1"/>
  <c r="G63" i="1"/>
  <c r="I63" i="1" s="1"/>
  <c r="O13" i="1"/>
  <c r="P13" i="1" s="1"/>
  <c r="Q13" i="1" s="1"/>
  <c r="R13" i="1" s="1"/>
  <c r="S13" i="1" s="1"/>
  <c r="T13" i="1" s="1"/>
  <c r="U13" i="1" s="1"/>
  <c r="V13" i="1" s="1"/>
  <c r="W13" i="1" s="1"/>
  <c r="X13" i="1" s="1"/>
  <c r="B13" i="1"/>
  <c r="F64" i="1" a="1"/>
  <c r="G64" i="1" a="1"/>
  <c r="H63" i="1" l="1"/>
  <c r="J63" i="1" s="1"/>
  <c r="N63" i="1"/>
  <c r="N62" i="3" s="1"/>
  <c r="G64" i="1"/>
  <c r="I64" i="1" s="1"/>
  <c r="F64" i="1"/>
  <c r="C13" i="1"/>
  <c r="G65" i="1" a="1"/>
  <c r="F65" i="1" a="1"/>
  <c r="H64" i="1" l="1"/>
  <c r="J64" i="1" s="1"/>
  <c r="N64" i="1"/>
  <c r="N63" i="3" s="1"/>
  <c r="F65" i="1"/>
  <c r="G65" i="1"/>
  <c r="I65" i="1" s="1"/>
  <c r="D13" i="1"/>
  <c r="F66" i="1" a="1"/>
  <c r="G66" i="1" a="1"/>
  <c r="H65" i="1" l="1"/>
  <c r="J65" i="1" s="1"/>
  <c r="N65" i="1"/>
  <c r="N64" i="3" s="1"/>
  <c r="G66" i="1"/>
  <c r="I66" i="1" s="1"/>
  <c r="F66" i="1"/>
  <c r="E13" i="1"/>
  <c r="G67" i="1" a="1"/>
  <c r="F67" i="1" a="1"/>
  <c r="H66" i="1" l="1"/>
  <c r="J66" i="1" s="1"/>
  <c r="N66" i="1"/>
  <c r="N65" i="3" s="1"/>
  <c r="F67" i="1"/>
  <c r="G67" i="1"/>
  <c r="I67" i="1" s="1"/>
  <c r="F13" i="1"/>
  <c r="G68" i="1" a="1"/>
  <c r="F68" i="1" a="1"/>
  <c r="H67" i="1" l="1"/>
  <c r="J67" i="1" s="1"/>
  <c r="N67" i="1"/>
  <c r="N66" i="3" s="1"/>
  <c r="G68" i="1"/>
  <c r="I68" i="1" s="1"/>
  <c r="F68" i="1"/>
  <c r="G13" i="1"/>
  <c r="F69" i="1" a="1"/>
  <c r="G69" i="1" a="1"/>
  <c r="H68" i="1" l="1"/>
  <c r="J68" i="1" s="1"/>
  <c r="N68" i="1"/>
  <c r="N67" i="3" s="1"/>
  <c r="F69" i="1"/>
  <c r="G69" i="1"/>
  <c r="I69" i="1" s="1"/>
  <c r="H13" i="1"/>
  <c r="G70" i="1" a="1"/>
  <c r="F70" i="1" a="1"/>
  <c r="H69" i="1" l="1"/>
  <c r="J69" i="1" s="1"/>
  <c r="N69" i="1"/>
  <c r="N68" i="3" s="1"/>
  <c r="G70" i="1"/>
  <c r="I70" i="1" s="1"/>
  <c r="F70" i="1"/>
  <c r="I13" i="1"/>
  <c r="G71" i="1" a="1"/>
  <c r="F71" i="1" a="1"/>
  <c r="H70" i="1" l="1"/>
  <c r="J70" i="1" s="1"/>
  <c r="N70" i="1"/>
  <c r="N69" i="3" s="1"/>
  <c r="F71" i="1"/>
  <c r="G71" i="1"/>
  <c r="I71" i="1" s="1"/>
  <c r="J13" i="1"/>
  <c r="G72" i="1" a="1"/>
  <c r="F72" i="1" a="1"/>
  <c r="H71" i="1" l="1"/>
  <c r="J71" i="1" s="1"/>
  <c r="N71" i="1"/>
  <c r="N70" i="3" s="1"/>
  <c r="G72" i="1"/>
  <c r="I72" i="1" s="1"/>
  <c r="F72" i="1"/>
  <c r="K13" i="1"/>
  <c r="G73" i="1" a="1"/>
  <c r="F73" i="1" a="1"/>
  <c r="H72" i="1" l="1"/>
  <c r="J72" i="1" s="1"/>
  <c r="N72" i="1"/>
  <c r="N71" i="3" s="1"/>
  <c r="F73" i="1"/>
  <c r="G73" i="1"/>
  <c r="I73" i="1" s="1"/>
  <c r="O16" i="1"/>
  <c r="P16" i="1" s="1"/>
  <c r="Q16" i="1" s="1"/>
  <c r="R16" i="1" s="1"/>
  <c r="S16" i="1" s="1"/>
  <c r="T16" i="1" s="1"/>
  <c r="U16" i="1" s="1"/>
  <c r="V16" i="1" s="1"/>
  <c r="W16" i="1" s="1"/>
  <c r="X16" i="1" s="1"/>
  <c r="B16" i="1"/>
  <c r="F74" i="1" a="1"/>
  <c r="G74" i="1" a="1"/>
  <c r="H73" i="1" l="1"/>
  <c r="J73" i="1" s="1"/>
  <c r="N73" i="1"/>
  <c r="N72" i="3" s="1"/>
  <c r="G74" i="1"/>
  <c r="I74" i="1" s="1"/>
  <c r="F74" i="1"/>
  <c r="C16" i="1"/>
  <c r="F75" i="1" a="1"/>
  <c r="G75" i="1" a="1"/>
  <c r="H74" i="1" l="1"/>
  <c r="J74" i="1" s="1"/>
  <c r="N74" i="1"/>
  <c r="N73" i="3" s="1"/>
  <c r="F75" i="1"/>
  <c r="G75" i="1"/>
  <c r="I75" i="1" s="1"/>
  <c r="D16" i="1"/>
  <c r="G76" i="1" a="1"/>
  <c r="F76" i="1" a="1"/>
  <c r="H75" i="1" l="1"/>
  <c r="J75" i="1" s="1"/>
  <c r="N75" i="1"/>
  <c r="N74" i="3" s="1"/>
  <c r="G76" i="1"/>
  <c r="I76" i="1" s="1"/>
  <c r="F76" i="1"/>
  <c r="E16" i="1"/>
  <c r="F77" i="1" a="1"/>
  <c r="G77" i="1" a="1"/>
  <c r="H76" i="1" l="1"/>
  <c r="J76" i="1" s="1"/>
  <c r="N76" i="1"/>
  <c r="N75" i="3" s="1"/>
  <c r="F77" i="1"/>
  <c r="G77" i="1"/>
  <c r="I77" i="1" s="1"/>
  <c r="F16" i="1"/>
  <c r="G78" i="1" a="1"/>
  <c r="F78" i="1" a="1"/>
  <c r="H77" i="1" l="1"/>
  <c r="J77" i="1" s="1"/>
  <c r="N77" i="1"/>
  <c r="N76" i="3" s="1"/>
  <c r="G78" i="1"/>
  <c r="I78" i="1" s="1"/>
  <c r="F78" i="1"/>
  <c r="G16" i="1"/>
  <c r="F79" i="1" a="1"/>
  <c r="G79" i="1" a="1"/>
  <c r="H78" i="1" l="1"/>
  <c r="J78" i="1" s="1"/>
  <c r="N78" i="1"/>
  <c r="N77" i="3" s="1"/>
  <c r="F79" i="1"/>
  <c r="G79" i="1"/>
  <c r="I79" i="1" s="1"/>
  <c r="H16" i="1"/>
  <c r="F80" i="1" a="1"/>
  <c r="G80" i="1" a="1"/>
  <c r="H79" i="1" l="1"/>
  <c r="J79" i="1" s="1"/>
  <c r="N79" i="1"/>
  <c r="N78" i="3" s="1"/>
  <c r="G80" i="1"/>
  <c r="I80" i="1" s="1"/>
  <c r="F80" i="1"/>
  <c r="I16" i="1"/>
  <c r="F81" i="1" a="1"/>
  <c r="G81" i="1" a="1"/>
  <c r="H80" i="1" l="1"/>
  <c r="J80" i="1" s="1"/>
  <c r="N80" i="1"/>
  <c r="N79" i="3" s="1"/>
  <c r="F81" i="1"/>
  <c r="G81" i="1"/>
  <c r="I81" i="1" s="1"/>
  <c r="J16" i="1"/>
  <c r="F82" i="1" a="1"/>
  <c r="G82" i="1" a="1"/>
  <c r="H81" i="1" l="1"/>
  <c r="J81" i="1" s="1"/>
  <c r="N81" i="1"/>
  <c r="N80" i="3" s="1"/>
  <c r="G82" i="1"/>
  <c r="I82" i="1" s="1"/>
  <c r="F82" i="1"/>
  <c r="K16" i="1"/>
  <c r="F83" i="1" a="1"/>
  <c r="G83" i="1" a="1"/>
  <c r="H82" i="1" l="1"/>
  <c r="J82" i="1" s="1"/>
  <c r="N82" i="1"/>
  <c r="N81" i="3" s="1"/>
  <c r="F83" i="1"/>
  <c r="G83" i="1"/>
  <c r="I83" i="1" s="1"/>
  <c r="N19" i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A19" i="1"/>
  <c r="F84" i="1" a="1"/>
  <c r="G84" i="1" a="1"/>
  <c r="H83" i="1" l="1"/>
  <c r="J83" i="1" s="1"/>
  <c r="N83" i="1"/>
  <c r="N82" i="3" s="1"/>
  <c r="G84" i="1"/>
  <c r="I84" i="1" s="1"/>
  <c r="F84" i="1"/>
  <c r="B19" i="1"/>
  <c r="F85" i="1" a="1"/>
  <c r="G85" i="1" a="1"/>
  <c r="H84" i="1" l="1"/>
  <c r="J84" i="1" s="1"/>
  <c r="N84" i="1"/>
  <c r="N83" i="3" s="1"/>
  <c r="F85" i="1"/>
  <c r="G85" i="1"/>
  <c r="I85" i="1" s="1"/>
  <c r="C19" i="1"/>
  <c r="G86" i="1" a="1"/>
  <c r="F86" i="1" a="1"/>
  <c r="H85" i="1" l="1"/>
  <c r="J85" i="1" s="1"/>
  <c r="N85" i="1"/>
  <c r="N84" i="3" s="1"/>
  <c r="G86" i="1"/>
  <c r="I86" i="1" s="1"/>
  <c r="F86" i="1"/>
  <c r="D19" i="1"/>
  <c r="F87" i="1" a="1"/>
  <c r="G87" i="1" a="1"/>
  <c r="H86" i="1" l="1"/>
  <c r="J86" i="1" s="1"/>
  <c r="N86" i="1"/>
  <c r="N85" i="3" s="1"/>
  <c r="F87" i="1"/>
  <c r="G87" i="1"/>
  <c r="I87" i="1" s="1"/>
  <c r="E19" i="1"/>
  <c r="G88" i="1" a="1"/>
  <c r="F88" i="1" a="1"/>
  <c r="H87" i="1" l="1"/>
  <c r="J87" i="1" s="1"/>
  <c r="N87" i="1"/>
  <c r="N86" i="3" s="1"/>
  <c r="G88" i="1"/>
  <c r="I88" i="1" s="1"/>
  <c r="F88" i="1"/>
  <c r="F19" i="1"/>
  <c r="F89" i="1" a="1"/>
  <c r="G89" i="1" a="1"/>
  <c r="H88" i="1" l="1"/>
  <c r="J88" i="1" s="1"/>
  <c r="N88" i="1"/>
  <c r="N87" i="3" s="1"/>
  <c r="F89" i="1"/>
  <c r="G89" i="1"/>
  <c r="I89" i="1" s="1"/>
  <c r="G19" i="1"/>
  <c r="G90" i="1" a="1"/>
  <c r="F90" i="1" a="1"/>
  <c r="H89" i="1" l="1"/>
  <c r="J89" i="1" s="1"/>
  <c r="N89" i="1"/>
  <c r="N88" i="3" s="1"/>
  <c r="G90" i="1"/>
  <c r="I90" i="1" s="1"/>
  <c r="F90" i="1"/>
  <c r="H19" i="1"/>
  <c r="F91" i="1" a="1"/>
  <c r="G91" i="1" a="1"/>
  <c r="H90" i="1" l="1"/>
  <c r="J90" i="1" s="1"/>
  <c r="N90" i="1"/>
  <c r="N89" i="3" s="1"/>
  <c r="F91" i="1"/>
  <c r="G91" i="1"/>
  <c r="I91" i="1" s="1"/>
  <c r="I19" i="1"/>
  <c r="F92" i="1" a="1"/>
  <c r="G92" i="1" a="1"/>
  <c r="H91" i="1" l="1"/>
  <c r="J91" i="1" s="1"/>
  <c r="N91" i="1"/>
  <c r="N90" i="3" s="1"/>
  <c r="G92" i="1"/>
  <c r="I92" i="1" s="1"/>
  <c r="F92" i="1"/>
  <c r="J19" i="1"/>
  <c r="G93" i="1" a="1"/>
  <c r="F93" i="1" a="1"/>
  <c r="H92" i="1" l="1"/>
  <c r="J92" i="1" s="1"/>
  <c r="N92" i="1"/>
  <c r="N91" i="3" s="1"/>
  <c r="F93" i="1"/>
  <c r="G93" i="1"/>
  <c r="I93" i="1" s="1"/>
  <c r="K19" i="1"/>
  <c r="G94" i="1" a="1"/>
  <c r="F94" i="1" a="1"/>
  <c r="H93" i="1" l="1"/>
  <c r="J93" i="1" s="1"/>
  <c r="N93" i="1"/>
  <c r="N92" i="3" s="1"/>
  <c r="G94" i="1"/>
  <c r="I94" i="1" s="1"/>
  <c r="F94" i="1"/>
  <c r="L19" i="1"/>
  <c r="F95" i="1" a="1"/>
  <c r="G95" i="1" a="1"/>
  <c r="H94" i="1" l="1"/>
  <c r="J94" i="1" s="1"/>
  <c r="N94" i="1"/>
  <c r="N93" i="3" s="1"/>
  <c r="F95" i="1"/>
  <c r="G95" i="1"/>
  <c r="I95" i="1" s="1"/>
  <c r="N22" i="1"/>
  <c r="O22" i="1" s="1"/>
  <c r="P22" i="1" s="1"/>
  <c r="Q22" i="1" s="1"/>
  <c r="R22" i="1" s="1"/>
  <c r="S22" i="1" s="1"/>
  <c r="T22" i="1" s="1"/>
  <c r="U22" i="1" s="1"/>
  <c r="V22" i="1" s="1"/>
  <c r="W22" i="1" s="1"/>
  <c r="X22" i="1" s="1"/>
  <c r="Y22" i="1" s="1"/>
  <c r="A22" i="1"/>
  <c r="G96" i="1" a="1"/>
  <c r="F96" i="1" a="1"/>
  <c r="H95" i="1" l="1"/>
  <c r="J95" i="1" s="1"/>
  <c r="N95" i="1"/>
  <c r="N94" i="3" s="1"/>
  <c r="G96" i="1"/>
  <c r="I96" i="1" s="1"/>
  <c r="F96" i="1"/>
  <c r="B22" i="1"/>
  <c r="G97" i="1" a="1"/>
  <c r="F97" i="1" a="1"/>
  <c r="H96" i="1" l="1"/>
  <c r="J96" i="1" s="1"/>
  <c r="N96" i="1"/>
  <c r="N95" i="3" s="1"/>
  <c r="F97" i="1"/>
  <c r="G97" i="1"/>
  <c r="I97" i="1" s="1"/>
  <c r="C22" i="1"/>
  <c r="F98" i="1" a="1"/>
  <c r="G98" i="1" a="1"/>
  <c r="H97" i="1" l="1"/>
  <c r="J97" i="1" s="1"/>
  <c r="N97" i="1"/>
  <c r="N96" i="3" s="1"/>
  <c r="G98" i="1"/>
  <c r="I98" i="1" s="1"/>
  <c r="F98" i="1"/>
  <c r="D22" i="1"/>
  <c r="G99" i="1" a="1"/>
  <c r="F99" i="1" a="1"/>
  <c r="H98" i="1" l="1"/>
  <c r="J98" i="1" s="1"/>
  <c r="N98" i="1"/>
  <c r="N97" i="3" s="1"/>
  <c r="F99" i="1"/>
  <c r="G99" i="1"/>
  <c r="I99" i="1" s="1"/>
  <c r="E22" i="1"/>
  <c r="G100" i="1" a="1"/>
  <c r="F100" i="1" a="1"/>
  <c r="H99" i="1" l="1"/>
  <c r="J99" i="1" s="1"/>
  <c r="N99" i="1"/>
  <c r="N98" i="3" s="1"/>
  <c r="G100" i="1"/>
  <c r="I100" i="1" s="1"/>
  <c r="F100" i="1"/>
  <c r="F22" i="1"/>
  <c r="F101" i="1" a="1"/>
  <c r="G101" i="1" a="1"/>
  <c r="H100" i="1" l="1"/>
  <c r="J100" i="1" s="1"/>
  <c r="N100" i="1"/>
  <c r="N99" i="3" s="1"/>
  <c r="F101" i="1"/>
  <c r="G101" i="1"/>
  <c r="I101" i="1" s="1"/>
  <c r="G22" i="1"/>
  <c r="F102" i="1" a="1"/>
  <c r="G102" i="1" a="1"/>
  <c r="H101" i="1" l="1"/>
  <c r="J101" i="1" s="1"/>
  <c r="N101" i="1"/>
  <c r="N100" i="3" s="1"/>
  <c r="G102" i="1"/>
  <c r="I102" i="1" s="1"/>
  <c r="F102" i="1"/>
  <c r="H22" i="1"/>
  <c r="F103" i="1" a="1"/>
  <c r="G103" i="1" a="1"/>
  <c r="H102" i="1" l="1"/>
  <c r="J102" i="1" s="1"/>
  <c r="N102" i="1"/>
  <c r="N101" i="3" s="1"/>
  <c r="F103" i="1"/>
  <c r="G103" i="1"/>
  <c r="I103" i="1" s="1"/>
  <c r="I22" i="1"/>
  <c r="G104" i="1" a="1"/>
  <c r="F104" i="1" a="1"/>
  <c r="H103" i="1" l="1"/>
  <c r="J103" i="1" s="1"/>
  <c r="N103" i="1"/>
  <c r="N102" i="3" s="1"/>
  <c r="G104" i="1"/>
  <c r="F104" i="1"/>
  <c r="J22" i="1"/>
  <c r="F105" i="1" a="1"/>
  <c r="G105" i="1" a="1"/>
  <c r="N104" i="1" l="1"/>
  <c r="N103" i="3" s="1"/>
  <c r="F105" i="1"/>
  <c r="G105" i="1"/>
  <c r="I105" i="1" s="1"/>
  <c r="K22" i="1"/>
  <c r="H104" i="1"/>
  <c r="I104" i="1"/>
  <c r="F106" i="1" a="1"/>
  <c r="G106" i="1" a="1"/>
  <c r="H105" i="1" l="1"/>
  <c r="J105" i="1" s="1"/>
  <c r="N105" i="1"/>
  <c r="N104" i="3" s="1"/>
  <c r="G106" i="1"/>
  <c r="F106" i="1"/>
  <c r="N106" i="1" s="1"/>
  <c r="N105" i="3" s="1"/>
  <c r="J104" i="1"/>
  <c r="L22" i="1"/>
  <c r="F107" i="1" a="1"/>
  <c r="G107" i="1" a="1"/>
  <c r="F107" i="1" l="1"/>
  <c r="G107" i="1"/>
  <c r="I107" i="1" s="1"/>
  <c r="O25" i="1"/>
  <c r="P25" i="1" s="1"/>
  <c r="Q25" i="1" s="1"/>
  <c r="R25" i="1" s="1"/>
  <c r="S25" i="1" s="1"/>
  <c r="T25" i="1" s="1"/>
  <c r="U25" i="1" s="1"/>
  <c r="V25" i="1" s="1"/>
  <c r="W25" i="1" s="1"/>
  <c r="X25" i="1" s="1"/>
  <c r="B25" i="1"/>
  <c r="H106" i="1"/>
  <c r="I106" i="1"/>
  <c r="F108" i="1" a="1"/>
  <c r="G108" i="1" a="1"/>
  <c r="H107" i="1" l="1"/>
  <c r="J107" i="1" s="1"/>
  <c r="N107" i="1"/>
  <c r="N106" i="3" s="1"/>
  <c r="G108" i="1"/>
  <c r="F108" i="1"/>
  <c r="J106" i="1"/>
  <c r="C25" i="1"/>
  <c r="G109" i="1" a="1"/>
  <c r="F109" i="1" a="1"/>
  <c r="N108" i="1" l="1"/>
  <c r="N107" i="3" s="1"/>
  <c r="F109" i="1"/>
  <c r="G109" i="1"/>
  <c r="I109" i="1" s="1"/>
  <c r="D25" i="1"/>
  <c r="H108" i="1"/>
  <c r="I108" i="1"/>
  <c r="G110" i="1" a="1"/>
  <c r="F110" i="1" a="1"/>
  <c r="H109" i="1" l="1"/>
  <c r="J109" i="1" s="1"/>
  <c r="N109" i="1"/>
  <c r="N108" i="3" s="1"/>
  <c r="G110" i="1"/>
  <c r="F110" i="1"/>
  <c r="J108" i="1"/>
  <c r="E25" i="1"/>
  <c r="G111" i="1" a="1"/>
  <c r="F111" i="1" a="1"/>
  <c r="N110" i="1" l="1"/>
  <c r="N109" i="3" s="1"/>
  <c r="F111" i="1"/>
  <c r="G111" i="1"/>
  <c r="I111" i="1" s="1"/>
  <c r="F25" i="1"/>
  <c r="H110" i="1"/>
  <c r="I110" i="1"/>
  <c r="G112" i="1" a="1"/>
  <c r="F112" i="1" a="1"/>
  <c r="H111" i="1" l="1"/>
  <c r="J111" i="1" s="1"/>
  <c r="N111" i="1"/>
  <c r="N110" i="3" s="1"/>
  <c r="G112" i="1"/>
  <c r="F112" i="1"/>
  <c r="J110" i="1"/>
  <c r="G25" i="1"/>
  <c r="F113" i="1" a="1"/>
  <c r="G113" i="1" a="1"/>
  <c r="N112" i="1" l="1"/>
  <c r="N111" i="3" s="1"/>
  <c r="F113" i="1"/>
  <c r="G113" i="1"/>
  <c r="I113" i="1" s="1"/>
  <c r="H25" i="1"/>
  <c r="H112" i="1"/>
  <c r="I112" i="1"/>
  <c r="F114" i="1" a="1"/>
  <c r="G114" i="1" a="1"/>
  <c r="H113" i="1" l="1"/>
  <c r="J113" i="1" s="1"/>
  <c r="N113" i="1"/>
  <c r="N112" i="3" s="1"/>
  <c r="G114" i="1"/>
  <c r="I114" i="1" s="1"/>
  <c r="F114" i="1"/>
  <c r="I25" i="1"/>
  <c r="J112" i="1"/>
  <c r="F115" i="1" a="1"/>
  <c r="G115" i="1" a="1"/>
  <c r="H114" i="1" l="1"/>
  <c r="J114" i="1" s="1"/>
  <c r="N114" i="1"/>
  <c r="N113" i="3" s="1"/>
  <c r="F115" i="1"/>
  <c r="G115" i="1"/>
  <c r="I115" i="1" s="1"/>
  <c r="J25" i="1"/>
  <c r="F116" i="1" a="1"/>
  <c r="G116" i="1" a="1"/>
  <c r="H115" i="1" l="1"/>
  <c r="J115" i="1" s="1"/>
  <c r="N115" i="1"/>
  <c r="N114" i="3" s="1"/>
  <c r="G116" i="1"/>
  <c r="I116" i="1" s="1"/>
  <c r="F116" i="1"/>
  <c r="K25" i="1"/>
  <c r="F117" i="1" a="1"/>
  <c r="G117" i="1" a="1"/>
  <c r="H116" i="1" l="1"/>
  <c r="J116" i="1" s="1"/>
  <c r="N116" i="1"/>
  <c r="N115" i="3" s="1"/>
  <c r="F117" i="1"/>
  <c r="G117" i="1"/>
  <c r="I117" i="1" s="1"/>
  <c r="O28" i="1"/>
  <c r="P28" i="1" s="1"/>
  <c r="Q28" i="1" s="1"/>
  <c r="R28" i="1" s="1"/>
  <c r="S28" i="1" s="1"/>
  <c r="T28" i="1" s="1"/>
  <c r="U28" i="1" s="1"/>
  <c r="V28" i="1" s="1"/>
  <c r="W28" i="1" s="1"/>
  <c r="X28" i="1" s="1"/>
  <c r="B28" i="1"/>
  <c r="G118" i="1" a="1"/>
  <c r="F118" i="1" a="1"/>
  <c r="H117" i="1" l="1"/>
  <c r="J117" i="1" s="1"/>
  <c r="N117" i="1"/>
  <c r="N116" i="3" s="1"/>
  <c r="G118" i="1"/>
  <c r="I118" i="1" s="1"/>
  <c r="F118" i="1"/>
  <c r="C28" i="1"/>
  <c r="G119" i="1" a="1"/>
  <c r="F119" i="1" a="1"/>
  <c r="H118" i="1" l="1"/>
  <c r="J118" i="1" s="1"/>
  <c r="N118" i="1"/>
  <c r="N117" i="3" s="1"/>
  <c r="F119" i="1"/>
  <c r="G119" i="1"/>
  <c r="I119" i="1" s="1"/>
  <c r="D28" i="1"/>
  <c r="G120" i="1" a="1"/>
  <c r="F120" i="1" a="1"/>
  <c r="H119" i="1" l="1"/>
  <c r="J119" i="1" s="1"/>
  <c r="N119" i="1"/>
  <c r="N118" i="3" s="1"/>
  <c r="G120" i="1"/>
  <c r="I120" i="1" s="1"/>
  <c r="F120" i="1"/>
  <c r="E28" i="1"/>
  <c r="G121" i="1" a="1"/>
  <c r="F121" i="1" a="1"/>
  <c r="H120" i="1" l="1"/>
  <c r="J120" i="1" s="1"/>
  <c r="N120" i="1"/>
  <c r="N119" i="3" s="1"/>
  <c r="F121" i="1"/>
  <c r="G121" i="1"/>
  <c r="I121" i="1" s="1"/>
  <c r="F28" i="1"/>
  <c r="G122" i="1" a="1"/>
  <c r="F122" i="1" a="1"/>
  <c r="H121" i="1" l="1"/>
  <c r="J121" i="1" s="1"/>
  <c r="N121" i="1"/>
  <c r="N120" i="3" s="1"/>
  <c r="G122" i="1"/>
  <c r="I122" i="1" s="1"/>
  <c r="F122" i="1"/>
  <c r="G28" i="1"/>
  <c r="F123" i="1" a="1"/>
  <c r="G123" i="1" a="1"/>
  <c r="H122" i="1" l="1"/>
  <c r="J122" i="1" s="1"/>
  <c r="N122" i="1"/>
  <c r="N121" i="3" s="1"/>
  <c r="F123" i="1"/>
  <c r="G123" i="1"/>
  <c r="I123" i="1" s="1"/>
  <c r="H28" i="1"/>
  <c r="F124" i="1" a="1"/>
  <c r="G124" i="1" a="1"/>
  <c r="H123" i="1" l="1"/>
  <c r="J123" i="1" s="1"/>
  <c r="N123" i="1"/>
  <c r="N122" i="3" s="1"/>
  <c r="G124" i="1"/>
  <c r="I124" i="1" s="1"/>
  <c r="F124" i="1"/>
  <c r="I28" i="1"/>
  <c r="G125" i="1" a="1"/>
  <c r="F125" i="1" a="1"/>
  <c r="H124" i="1" l="1"/>
  <c r="J124" i="1" s="1"/>
  <c r="N124" i="1"/>
  <c r="N123" i="3" s="1"/>
  <c r="F125" i="1"/>
  <c r="G125" i="1"/>
  <c r="I125" i="1" s="1"/>
  <c r="J28" i="1"/>
  <c r="G126" i="1" a="1"/>
  <c r="F126" i="1" a="1"/>
  <c r="H125" i="1" l="1"/>
  <c r="J125" i="1" s="1"/>
  <c r="N125" i="1"/>
  <c r="N124" i="3" s="1"/>
  <c r="G126" i="1"/>
  <c r="I126" i="1" s="1"/>
  <c r="F126" i="1"/>
  <c r="K28" i="1"/>
  <c r="G127" i="1" a="1"/>
  <c r="F127" i="1" a="1"/>
  <c r="H126" i="1" l="1"/>
  <c r="J126" i="1" s="1"/>
  <c r="N126" i="1"/>
  <c r="N125" i="3" s="1"/>
  <c r="F127" i="1"/>
  <c r="G127" i="1"/>
  <c r="I127" i="1" s="1"/>
  <c r="C31" i="1"/>
  <c r="P31" i="1"/>
  <c r="Q31" i="1" s="1"/>
  <c r="R31" i="1" s="1"/>
  <c r="S31" i="1" s="1"/>
  <c r="T31" i="1" s="1"/>
  <c r="U31" i="1" s="1"/>
  <c r="V31" i="1" s="1"/>
  <c r="W31" i="1" s="1"/>
  <c r="F128" i="1" a="1"/>
  <c r="G128" i="1" a="1"/>
  <c r="H127" i="1" l="1"/>
  <c r="J127" i="1" s="1"/>
  <c r="N127" i="1"/>
  <c r="N126" i="3" s="1"/>
  <c r="G128" i="1"/>
  <c r="I128" i="1" s="1"/>
  <c r="F128" i="1"/>
  <c r="D31" i="1"/>
  <c r="G129" i="1" a="1"/>
  <c r="F129" i="1" a="1"/>
  <c r="H128" i="1" l="1"/>
  <c r="J128" i="1" s="1"/>
  <c r="N128" i="1"/>
  <c r="N127" i="3" s="1"/>
  <c r="F129" i="1"/>
  <c r="G129" i="1"/>
  <c r="I129" i="1" s="1"/>
  <c r="E31" i="1"/>
  <c r="F130" i="1" a="1"/>
  <c r="G130" i="1" a="1"/>
  <c r="H129" i="1" l="1"/>
  <c r="J129" i="1" s="1"/>
  <c r="N129" i="1"/>
  <c r="N128" i="3" s="1"/>
  <c r="G130" i="1"/>
  <c r="I130" i="1" s="1"/>
  <c r="F130" i="1"/>
  <c r="F31" i="1"/>
  <c r="G131" i="1" a="1"/>
  <c r="F131" i="1" a="1"/>
  <c r="H130" i="1" l="1"/>
  <c r="J130" i="1" s="1"/>
  <c r="N130" i="1"/>
  <c r="N129" i="3" s="1"/>
  <c r="F131" i="1"/>
  <c r="G131" i="1"/>
  <c r="I131" i="1" s="1"/>
  <c r="G31" i="1"/>
  <c r="G132" i="1" a="1"/>
  <c r="F132" i="1" a="1"/>
  <c r="H131" i="1" l="1"/>
  <c r="J131" i="1" s="1"/>
  <c r="N131" i="1"/>
  <c r="N130" i="3" s="1"/>
  <c r="G132" i="1"/>
  <c r="I132" i="1" s="1"/>
  <c r="F132" i="1"/>
  <c r="H31" i="1"/>
  <c r="G133" i="1" a="1"/>
  <c r="F133" i="1" a="1"/>
  <c r="H132" i="1" l="1"/>
  <c r="J132" i="1" s="1"/>
  <c r="N132" i="1"/>
  <c r="N131" i="3" s="1"/>
  <c r="F133" i="1"/>
  <c r="G133" i="1"/>
  <c r="I133" i="1" s="1"/>
  <c r="I31" i="1"/>
  <c r="F134" i="1" a="1"/>
  <c r="G134" i="1" a="1"/>
  <c r="H133" i="1" l="1"/>
  <c r="J133" i="1" s="1"/>
  <c r="N133" i="1"/>
  <c r="N132" i="3" s="1"/>
  <c r="G134" i="1"/>
  <c r="I134" i="1" s="1"/>
  <c r="F134" i="1"/>
  <c r="J31" i="1"/>
  <c r="G135" i="1" a="1"/>
  <c r="F135" i="1" a="1"/>
  <c r="H134" i="1" l="1"/>
  <c r="J134" i="1" s="1"/>
  <c r="N134" i="1"/>
  <c r="N133" i="3" s="1"/>
  <c r="F135" i="1"/>
  <c r="G135" i="1"/>
  <c r="I135" i="1" s="1"/>
  <c r="E34" i="1"/>
  <c r="R34" i="1"/>
  <c r="S34" i="1" s="1"/>
  <c r="T34" i="1" s="1"/>
  <c r="U34" i="1" s="1"/>
  <c r="G136" i="1" a="1"/>
  <c r="F136" i="1" a="1"/>
  <c r="H135" i="1" l="1"/>
  <c r="J135" i="1" s="1"/>
  <c r="N135" i="1"/>
  <c r="N134" i="3" s="1"/>
  <c r="G136" i="1"/>
  <c r="I136" i="1" s="1"/>
  <c r="F136" i="1"/>
  <c r="F34" i="1"/>
  <c r="F137" i="1" a="1"/>
  <c r="G137" i="1" a="1"/>
  <c r="H136" i="1" l="1"/>
  <c r="J136" i="1" s="1"/>
  <c r="N136" i="1"/>
  <c r="N135" i="3" s="1"/>
  <c r="F137" i="1"/>
  <c r="G137" i="1"/>
  <c r="I137" i="1" s="1"/>
  <c r="G34" i="1"/>
  <c r="F138" i="1" a="1"/>
  <c r="G138" i="1" a="1"/>
  <c r="H137" i="1" l="1"/>
  <c r="J137" i="1" s="1"/>
  <c r="N137" i="1"/>
  <c r="N136" i="3" s="1"/>
  <c r="G138" i="1"/>
  <c r="I138" i="1" s="1"/>
  <c r="F138" i="1"/>
  <c r="H34" i="1"/>
  <c r="G139" i="1" a="1"/>
  <c r="F139" i="1" a="1"/>
  <c r="H138" i="1" l="1"/>
  <c r="J138" i="1" s="1"/>
  <c r="N138" i="1"/>
  <c r="N137" i="3" s="1"/>
  <c r="F139" i="1"/>
  <c r="G139" i="1"/>
  <c r="B59" i="1" l="1"/>
  <c r="N139" i="1"/>
  <c r="N138" i="3" s="1"/>
  <c r="I139" i="1"/>
  <c r="I140" i="1" s="1"/>
  <c r="B40" i="1" s="1"/>
  <c r="B60" i="1"/>
  <c r="C40" i="1"/>
  <c r="B61" i="1"/>
  <c r="H139" i="1"/>
  <c r="C39" i="1"/>
  <c r="B58" i="1"/>
  <c r="AA139" i="1" l="1"/>
  <c r="AA54" i="1"/>
  <c r="AA55" i="1"/>
  <c r="AA53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9" i="1"/>
  <c r="AA68" i="1"/>
  <c r="AA70" i="1"/>
  <c r="AA71" i="1"/>
  <c r="AA73" i="1"/>
  <c r="AA72" i="1"/>
  <c r="AA74" i="1"/>
  <c r="AA76" i="1"/>
  <c r="AA75" i="1"/>
  <c r="AA78" i="1"/>
  <c r="AA77" i="1"/>
  <c r="AA80" i="1"/>
  <c r="AA79" i="1"/>
  <c r="AA82" i="1"/>
  <c r="AA83" i="1"/>
  <c r="AA81" i="1"/>
  <c r="AA86" i="1"/>
  <c r="AA84" i="1"/>
  <c r="AA85" i="1"/>
  <c r="AA88" i="1"/>
  <c r="AA87" i="1"/>
  <c r="AA89" i="1"/>
  <c r="AA91" i="1"/>
  <c r="AA90" i="1"/>
  <c r="AA92" i="1"/>
  <c r="AA93" i="1"/>
  <c r="AA94" i="1"/>
  <c r="AA95" i="1"/>
  <c r="AA96" i="1"/>
  <c r="AA98" i="1"/>
  <c r="AA97" i="1"/>
  <c r="AA99" i="1"/>
  <c r="AA100" i="1"/>
  <c r="AA102" i="1"/>
  <c r="AA101" i="1"/>
  <c r="AA104" i="1"/>
  <c r="AA103" i="1"/>
  <c r="AA108" i="1"/>
  <c r="AA106" i="1"/>
  <c r="AA105" i="1"/>
  <c r="AA107" i="1"/>
  <c r="AA109" i="1"/>
  <c r="AA110" i="1"/>
  <c r="AA111" i="1"/>
  <c r="AA112" i="1"/>
  <c r="AA114" i="1"/>
  <c r="AA115" i="1"/>
  <c r="AA113" i="1"/>
  <c r="AA116" i="1"/>
  <c r="AA118" i="1"/>
  <c r="AA117" i="1"/>
  <c r="AA119" i="1"/>
  <c r="AA120" i="1"/>
  <c r="AA121" i="1"/>
  <c r="AA122" i="1"/>
  <c r="AA124" i="1"/>
  <c r="AA123" i="1"/>
  <c r="AA125" i="1"/>
  <c r="AA127" i="1"/>
  <c r="AA126" i="1"/>
  <c r="AA128" i="1"/>
  <c r="AA129" i="1"/>
  <c r="AA130" i="1"/>
  <c r="AA131" i="1"/>
  <c r="AA132" i="1"/>
  <c r="AA133" i="1"/>
  <c r="AA134" i="1"/>
  <c r="AA137" i="1"/>
  <c r="AA138" i="1"/>
  <c r="AA136" i="1"/>
  <c r="AA135" i="1"/>
  <c r="AA52" i="1"/>
  <c r="U41" i="1"/>
  <c r="U40" i="1"/>
  <c r="J139" i="1"/>
  <c r="J140" i="1" s="1"/>
  <c r="B41" i="1" s="1"/>
  <c r="H140" i="1"/>
  <c r="B39" i="1" s="1"/>
  <c r="A9" i="2" l="1"/>
  <c r="A11" i="2"/>
  <c r="A6" i="2"/>
  <c r="A14" i="2"/>
  <c r="A10" i="2"/>
  <c r="A12" i="2"/>
  <c r="A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<sst xmlns="http://schemas.openxmlformats.org/spreadsheetml/2006/main" count="57" uniqueCount="50">
  <si>
    <t>BiTRAN Wafer Yield Map</t>
  </si>
  <si>
    <t>Lot</t>
  </si>
  <si>
    <t>Wafer #</t>
  </si>
  <si>
    <t>Fab</t>
  </si>
  <si>
    <t>Test condition</t>
  </si>
  <si>
    <t>reverse BV at 1mA for surface diode Unit (V)</t>
  </si>
  <si>
    <t>Test Date</t>
  </si>
  <si>
    <t>Test Engineer</t>
  </si>
  <si>
    <t>SemeFAB</t>
  </si>
  <si>
    <t>Data Deviation</t>
  </si>
  <si>
    <t>Front</t>
  </si>
  <si>
    <t>Front Side Testing</t>
  </si>
  <si>
    <t>Back</t>
  </si>
  <si>
    <t>Back Side Testing</t>
  </si>
  <si>
    <t>Total</t>
  </si>
  <si>
    <t xml:space="preserve">Yield at </t>
  </si>
  <si>
    <t>V</t>
  </si>
  <si>
    <t>E1E2</t>
  </si>
  <si>
    <t>E2E1</t>
  </si>
  <si>
    <t>Wafer</t>
  </si>
  <si>
    <t xml:space="preserve">Search: </t>
  </si>
  <si>
    <t>Min F</t>
  </si>
  <si>
    <t>Max F</t>
  </si>
  <si>
    <t>Min B</t>
  </si>
  <si>
    <t>Max B</t>
  </si>
  <si>
    <t>Die</t>
  </si>
  <si>
    <t>FrontBV</t>
  </si>
  <si>
    <t>BackBV</t>
  </si>
  <si>
    <t>Front Yield</t>
  </si>
  <si>
    <t>BackYield</t>
  </si>
  <si>
    <t>TotalYield</t>
  </si>
  <si>
    <t>FLAT</t>
  </si>
  <si>
    <t>Top Threshold</t>
  </si>
  <si>
    <t>Part Number=IPAD01210AST</t>
  </si>
  <si>
    <t>Wafer Size=150 mm</t>
  </si>
  <si>
    <t>XDIES=11.286 mm</t>
  </si>
  <si>
    <t>YDIES=11.276 mm</t>
  </si>
  <si>
    <t>ideal *3</t>
  </si>
  <si>
    <t>ideal *2</t>
  </si>
  <si>
    <t>ideal +10%</t>
  </si>
  <si>
    <t>Flat</t>
  </si>
  <si>
    <t>High Value</t>
  </si>
  <si>
    <t>Low Value</t>
  </si>
  <si>
    <t>Avg E1E2</t>
  </si>
  <si>
    <t>Avg E2E1</t>
  </si>
  <si>
    <t>E1E2 Dev</t>
  </si>
  <si>
    <t>E2E1 Dev</t>
  </si>
  <si>
    <t>Avg E1E2 : good devices</t>
  </si>
  <si>
    <t>Avg E2E1 : good devices</t>
  </si>
  <si>
    <t>Quick Notes: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</si>
</sst>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&quot;Die &quot;0"/>
  </numFmts>
  <fonts count="2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8"/>
      <name val="Arial Black"/>
      <family val="2"/>
    </font>
    <font>
      <sz val="12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theme="1"/>
      <name val="Abadi"/>
      <family val="2"/>
    </font>
    <font>
      <sz val="10"/>
      <name val="Abadi"/>
      <family val="2"/>
    </font>
    <font>
      <sz val="8"/>
      <color theme="3" tint="0.249977111117893"/>
      <name val="Aptos Narrow"/>
      <family val="2"/>
      <scheme val="minor"/>
    </font>
    <font>
      <b/>
      <sz val="28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8" tint="0.79998168889431442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24994659260841701"/>
      </left>
      <right/>
      <top/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24994659260841701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 tint="-0.24994659260841701"/>
      </bottom>
      <diagonal/>
    </border>
    <border>
      <left/>
      <right/>
      <top style="medium">
        <color theme="0" tint="-0.34998626667073579"/>
      </top>
      <bottom style="medium">
        <color theme="0" tint="-0.24994659260841701"/>
      </bottom>
      <diagonal/>
    </border>
    <border>
      <left/>
      <right style="medium">
        <color theme="0" tint="-0.34998626667073579"/>
      </right>
      <top style="medium">
        <color theme="0" tint="-0.34998626667073579"/>
      </top>
      <bottom style="medium">
        <color theme="0" tint="-0.24994659260841701"/>
      </bottom>
      <diagonal/>
    </border>
    <border>
      <left/>
      <right style="medium">
        <color theme="0" tint="-0.34998626667073579"/>
      </right>
      <top style="medium">
        <color theme="0" tint="-0.24994659260841701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 style="medium">
        <color theme="0" tint="-0.34998626667073579"/>
      </right>
      <top/>
      <bottom style="medium">
        <color theme="0" tint="-0.24994659260841701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2" fillId="3" borderId="0" xfId="0" applyFont="1" applyFill="1" applyAlignment="1">
      <alignment vertical="top"/>
    </xf>
    <xf numFmtId="0" fontId="8" fillId="3" borderId="16" xfId="0" applyFont="1" applyFill="1" applyBorder="1" applyAlignment="1">
      <alignment horizontal="center" vertical="center" wrapText="1"/>
    </xf>
    <xf numFmtId="0" fontId="0" fillId="6" borderId="0" xfId="0" applyFill="1"/>
    <xf numFmtId="0" fontId="9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vertical="top"/>
    </xf>
    <xf numFmtId="0" fontId="10" fillId="6" borderId="0" xfId="0" applyFont="1" applyFill="1" applyAlignment="1">
      <alignment vertical="center" wrapText="1"/>
    </xf>
    <xf numFmtId="164" fontId="10" fillId="6" borderId="0" xfId="0" applyNumberFormat="1" applyFont="1" applyFill="1" applyAlignment="1">
      <alignment horizontal="right" vertical="center"/>
    </xf>
    <xf numFmtId="0" fontId="10" fillId="6" borderId="16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1" fillId="6" borderId="0" xfId="0" applyFont="1" applyFill="1" applyAlignment="1">
      <alignment vertical="center" wrapText="1"/>
    </xf>
    <xf numFmtId="164" fontId="11" fillId="6" borderId="0" xfId="0" applyNumberFormat="1" applyFont="1" applyFill="1" applyAlignment="1">
      <alignment horizontal="right" vertical="center"/>
    </xf>
    <xf numFmtId="0" fontId="11" fillId="6" borderId="16" xfId="0" applyFont="1" applyFill="1" applyBorder="1" applyAlignment="1">
      <alignment horizontal="center" vertical="center"/>
    </xf>
    <xf numFmtId="0" fontId="2" fillId="6" borderId="0" xfId="0" applyFont="1" applyFill="1" applyAlignment="1">
      <alignment vertical="center" wrapText="1"/>
    </xf>
    <xf numFmtId="0" fontId="12" fillId="6" borderId="1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17" xfId="0" applyBorder="1"/>
    <xf numFmtId="164" fontId="0" fillId="0" borderId="17" xfId="0" applyNumberFormat="1" applyBorder="1"/>
    <xf numFmtId="49" fontId="0" fillId="0" borderId="0" xfId="0" applyNumberFormat="1" applyAlignment="1">
      <alignment horizontal="center"/>
    </xf>
    <xf numFmtId="2" fontId="0" fillId="0" borderId="0" xfId="0" applyNumberFormat="1"/>
    <xf numFmtId="2" fontId="4" fillId="0" borderId="0" xfId="0" applyNumberFormat="1" applyFont="1" applyAlignment="1">
      <alignment horizontal="right"/>
    </xf>
    <xf numFmtId="2" fontId="5" fillId="0" borderId="0" xfId="0" applyNumberFormat="1" applyFont="1" applyAlignment="1">
      <alignment horizontal="center" vertical="center"/>
    </xf>
    <xf numFmtId="2" fontId="6" fillId="0" borderId="6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left"/>
    </xf>
    <xf numFmtId="2" fontId="6" fillId="0" borderId="1" xfId="0" applyNumberFormat="1" applyFont="1" applyBorder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right" vertical="top"/>
    </xf>
    <xf numFmtId="2" fontId="6" fillId="0" borderId="5" xfId="0" applyNumberFormat="1" applyFont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2" fontId="4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17" xfId="0" applyFont="1" applyBorder="1"/>
    <xf numFmtId="0" fontId="14" fillId="0" borderId="18" xfId="0" applyFont="1" applyBorder="1" applyAlignment="1">
      <alignment horizontal="right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left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6" fillId="7" borderId="7" xfId="0" applyNumberFormat="1" applyFont="1" applyFill="1" applyBorder="1" applyAlignment="1">
      <alignment horizontal="center" vertical="center"/>
    </xf>
    <xf numFmtId="2" fontId="5" fillId="8" borderId="9" xfId="0" applyNumberFormat="1" applyFont="1" applyFill="1" applyBorder="1" applyAlignment="1">
      <alignment horizontal="center" vertical="center"/>
    </xf>
    <xf numFmtId="2" fontId="5" fillId="8" borderId="13" xfId="0" applyNumberFormat="1" applyFont="1" applyFill="1" applyBorder="1" applyAlignment="1">
      <alignment horizontal="center" vertical="center"/>
    </xf>
    <xf numFmtId="2" fontId="5" fillId="8" borderId="14" xfId="0" applyNumberFormat="1" applyFont="1" applyFill="1" applyBorder="1" applyAlignment="1">
      <alignment horizontal="center" vertical="center"/>
    </xf>
    <xf numFmtId="2" fontId="5" fillId="8" borderId="15" xfId="0" applyNumberFormat="1" applyFont="1" applyFill="1" applyBorder="1" applyAlignment="1">
      <alignment horizontal="center" vertical="center"/>
    </xf>
    <xf numFmtId="2" fontId="6" fillId="8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165" fontId="6" fillId="6" borderId="8" xfId="0" applyNumberFormat="1" applyFont="1" applyFill="1" applyBorder="1" applyAlignment="1">
      <alignment horizontal="center" vertical="center"/>
    </xf>
    <xf numFmtId="165" fontId="6" fillId="6" borderId="12" xfId="0" applyNumberFormat="1" applyFont="1" applyFill="1" applyBorder="1" applyAlignment="1">
      <alignment horizontal="center" vertical="center"/>
    </xf>
    <xf numFmtId="165" fontId="6" fillId="9" borderId="12" xfId="0" applyNumberFormat="1" applyFont="1" applyFill="1" applyBorder="1" applyAlignment="1">
      <alignment horizontal="center" vertical="center"/>
    </xf>
    <xf numFmtId="2" fontId="16" fillId="0" borderId="0" xfId="0" applyNumberFormat="1" applyFont="1" applyAlignment="1">
      <alignment vertical="center"/>
    </xf>
    <xf numFmtId="2" fontId="17" fillId="0" borderId="0" xfId="0" applyNumberFormat="1" applyFont="1" applyAlignment="1">
      <alignment horizontal="center" vertical="center"/>
    </xf>
    <xf numFmtId="0" fontId="13" fillId="0" borderId="17" xfId="0" applyFont="1" applyBorder="1" applyAlignment="1">
      <alignment horizontal="center"/>
    </xf>
    <xf numFmtId="1" fontId="13" fillId="0" borderId="0" xfId="0" applyNumberFormat="1" applyFont="1" applyAlignment="1">
      <alignment horizontal="center"/>
    </xf>
    <xf numFmtId="0" fontId="15" fillId="0" borderId="0" xfId="0" applyFont="1"/>
    <xf numFmtId="0" fontId="18" fillId="0" borderId="18" xfId="0" applyFont="1" applyBorder="1" applyAlignment="1">
      <alignment horizontal="right" vertical="center"/>
    </xf>
    <xf numFmtId="0" fontId="0" fillId="0" borderId="0" xfId="0" quotePrefix="1" applyAlignment="1">
      <alignment horizontal="center"/>
    </xf>
    <xf numFmtId="0" fontId="0" fillId="0" borderId="0" xfId="0" quotePrefix="1"/>
    <xf numFmtId="0" fontId="6" fillId="0" borderId="0" xfId="0" applyFont="1"/>
    <xf numFmtId="164" fontId="5" fillId="6" borderId="0" xfId="0" applyNumberFormat="1" applyFont="1" applyFill="1" applyAlignment="1">
      <alignment horizontal="center" vertical="center"/>
    </xf>
    <xf numFmtId="2" fontId="5" fillId="0" borderId="7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2" fontId="5" fillId="0" borderId="9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/>
    </xf>
    <xf numFmtId="2" fontId="5" fillId="0" borderId="2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 textRotation="90"/>
    </xf>
    <xf numFmtId="2" fontId="5" fillId="0" borderId="13" xfId="0" applyNumberFormat="1" applyFon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/>
    </xf>
    <xf numFmtId="2" fontId="5" fillId="0" borderId="27" xfId="0" applyNumberFormat="1" applyFont="1" applyBorder="1" applyAlignment="1">
      <alignment horizontal="center" vertical="center"/>
    </xf>
    <xf numFmtId="2" fontId="5" fillId="0" borderId="28" xfId="0" applyNumberFormat="1" applyFont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29" xfId="0" applyBorder="1"/>
    <xf numFmtId="2" fontId="0" fillId="0" borderId="30" xfId="0" applyNumberFormat="1" applyBorder="1" applyAlignment="1">
      <alignment horizontal="center"/>
    </xf>
    <xf numFmtId="0" fontId="0" fillId="0" borderId="31" xfId="0" applyBorder="1"/>
    <xf numFmtId="2" fontId="0" fillId="0" borderId="32" xfId="0" applyNumberFormat="1" applyBorder="1" applyAlignment="1">
      <alignment horizontal="center"/>
    </xf>
    <xf numFmtId="0" fontId="0" fillId="0" borderId="16" xfId="0" applyBorder="1"/>
    <xf numFmtId="2" fontId="0" fillId="0" borderId="33" xfId="0" applyNumberFormat="1" applyBorder="1" applyAlignment="1">
      <alignment horizontal="center"/>
    </xf>
    <xf numFmtId="165" fontId="6" fillId="0" borderId="34" xfId="0" applyNumberFormat="1" applyFont="1" applyBorder="1" applyAlignment="1">
      <alignment horizontal="center" vertical="center"/>
    </xf>
    <xf numFmtId="14" fontId="3" fillId="3" borderId="17" xfId="0" applyNumberFormat="1" applyFont="1" applyFill="1" applyBorder="1"/>
    <xf numFmtId="0" fontId="0" fillId="3" borderId="17" xfId="0" applyFill="1" applyBorder="1"/>
    <xf numFmtId="165" fontId="6" fillId="0" borderId="25" xfId="0" applyNumberFormat="1" applyFont="1" applyBorder="1" applyAlignment="1">
      <alignment horizontal="center" vertical="center"/>
    </xf>
    <xf numFmtId="165" fontId="6" fillId="0" borderId="22" xfId="0" applyNumberFormat="1" applyFont="1" applyBorder="1" applyAlignment="1">
      <alignment horizontal="center" vertical="center"/>
    </xf>
    <xf numFmtId="165" fontId="6" fillId="0" borderId="23" xfId="0" applyNumberFormat="1" applyFont="1" applyBorder="1" applyAlignment="1">
      <alignment horizontal="center" vertical="center"/>
    </xf>
    <xf numFmtId="165" fontId="6" fillId="0" borderId="24" xfId="0" applyNumberFormat="1" applyFont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0" fontId="2" fillId="6" borderId="0" xfId="0" applyFont="1" applyFill="1" applyAlignment="1">
      <alignment vertical="center" shrinkToFit="1"/>
    </xf>
    <xf numFmtId="0" fontId="1" fillId="0" borderId="21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49" fontId="0" fillId="3" borderId="17" xfId="0" applyNumberFormat="1" applyFill="1" applyBorder="1"/>
    <xf numFmtId="0" fontId="0" fillId="3" borderId="0" xfId="0" applyFill="1"/>
    <xf numFmtId="0" fontId="0" fillId="3" borderId="17" xfId="0" applyFill="1" applyBorder="1" applyAlignment="1">
      <alignment horizontal="left"/>
    </xf>
    <xf numFmtId="0" fontId="0" fillId="6" borderId="36" xfId="0" applyFill="1" applyBorder="1" applyAlignment="1">
      <alignment horizontal="center" vertical="center" wrapText="1"/>
    </xf>
    <xf numFmtId="0" fontId="0" fillId="6" borderId="37" xfId="0" applyFill="1" applyBorder="1" applyAlignment="1">
      <alignment horizontal="center" vertical="center" wrapText="1"/>
    </xf>
    <xf numFmtId="0" fontId="0" fillId="6" borderId="43" xfId="0" applyFill="1" applyBorder="1" applyAlignment="1">
      <alignment horizontal="center" vertical="center" wrapText="1"/>
    </xf>
    <xf numFmtId="0" fontId="0" fillId="6" borderId="35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0" fillId="6" borderId="44" xfId="0" applyFill="1" applyBorder="1" applyAlignment="1">
      <alignment horizontal="center" vertical="center" wrapText="1"/>
    </xf>
    <xf numFmtId="0" fontId="0" fillId="6" borderId="38" xfId="0" applyFill="1" applyBorder="1" applyAlignment="1">
      <alignment horizontal="center" vertical="center" wrapText="1"/>
    </xf>
    <xf numFmtId="0" fontId="0" fillId="6" borderId="39" xfId="0" applyFill="1" applyBorder="1" applyAlignment="1">
      <alignment horizontal="center" vertical="center" wrapText="1"/>
    </xf>
    <xf numFmtId="0" fontId="0" fillId="6" borderId="45" xfId="0" applyFill="1" applyBorder="1" applyAlignment="1">
      <alignment horizontal="center" vertical="center" wrapText="1"/>
    </xf>
    <xf numFmtId="0" fontId="20" fillId="6" borderId="40" xfId="0" applyFont="1" applyFill="1" applyBorder="1" applyAlignment="1">
      <alignment horizontal="center"/>
    </xf>
    <xf numFmtId="0" fontId="20" fillId="6" borderId="41" xfId="0" applyFont="1" applyFill="1" applyBorder="1" applyAlignment="1">
      <alignment horizontal="center"/>
    </xf>
    <xf numFmtId="0" fontId="20" fillId="6" borderId="42" xfId="0" applyFont="1" applyFill="1" applyBorder="1" applyAlignment="1">
      <alignment horizontal="center"/>
    </xf>
    <xf numFmtId="0" fontId="19" fillId="6" borderId="21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/>
    </xf>
  </cellXfs>
  <cellStyles count="1">
    <cellStyle name="Normal" xfId="0" builtinId="0"/>
  </cellStyles>
  <dxfs count="217"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BA36AD"/>
        </patternFill>
      </fill>
    </dxf>
    <dxf>
      <fill>
        <patternFill>
          <bgColor rgb="FFE993E5"/>
        </patternFill>
      </fill>
    </dxf>
    <dxf>
      <fill>
        <patternFill>
          <bgColor rgb="FFF5DBF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border>
        <left style="thin">
          <color theme="3" tint="0.24994659260841701"/>
        </left>
        <right style="thin">
          <color theme="3" tint="0.24994659260841701"/>
        </right>
        <top style="thin">
          <color theme="3" tint="0.24994659260841701"/>
        </top>
        <bottom style="thin">
          <color theme="3" tint="0.24994659260841701"/>
        </bottom>
        <vertical/>
        <horizontal/>
      </border>
    </dxf>
    <dxf>
      <border>
        <left style="thin">
          <color theme="3" tint="0.24994659260841701"/>
        </left>
        <right style="thin">
          <color theme="3" tint="0.24994659260841701"/>
        </right>
        <top style="thin">
          <color theme="3" tint="0.24994659260841701"/>
        </top>
        <bottom style="thin">
          <color theme="3" tint="0.2499465926084170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99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ont>
        <color theme="0"/>
      </font>
      <border>
        <bottom/>
      </border>
    </dxf>
    <dxf>
      <font>
        <color theme="0"/>
      </font>
      <border>
        <bottom/>
      </border>
    </dxf>
  </dxfs>
  <tableStyles count="0" defaultTableStyle="TableStyleMedium2" defaultPivotStyle="PivotStyleLight16"/>
  <colors>
    <mruColors>
      <color rgb="FFFCE4D6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406540</xdr:colOff>
      <xdr:row>2</xdr:row>
      <xdr:rowOff>176389</xdr:rowOff>
    </xdr:from>
    <xdr:to>
      <xdr:col>25</xdr:col>
      <xdr:colOff>216041</xdr:colOff>
      <xdr:row>38</xdr:row>
      <xdr:rowOff>31465</xdr:rowOff>
    </xdr:to>
    <xdr:sp macro="" textlink="">
      <xdr:nvSpPr>
        <xdr:cNvPr id="2" name="Chord 1">
          <a:extLst>
            <a:ext uri="{FF2B5EF4-FFF2-40B4-BE49-F238E27FC236}">
              <a16:creationId xmlns:a16="http://schemas.microsoft.com/office/drawing/2014/main" id="{F2641C1D-6A20-5DBE-8F1E-8B1DF1FF845C}"/>
            </a:ext>
          </a:extLst>
        </xdr:cNvPr>
        <xdr:cNvSpPr/>
      </xdr:nvSpPr>
      <xdr:spPr>
        <a:xfrm rot="10800000">
          <a:off x="7687873" y="585611"/>
          <a:ext cx="7697612" cy="6889465"/>
        </a:xfrm>
        <a:prstGeom prst="chord">
          <a:avLst>
            <a:gd name="adj1" fmla="val 18320997"/>
            <a:gd name="adj2" fmla="val 14085644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557302</xdr:colOff>
      <xdr:row>35</xdr:row>
      <xdr:rowOff>8031</xdr:rowOff>
    </xdr:from>
    <xdr:to>
      <xdr:col>7</xdr:col>
      <xdr:colOff>72434</xdr:colOff>
      <xdr:row>36</xdr:row>
      <xdr:rowOff>99788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81D9AD6C-E6A2-4812-8F11-26A9F9BA0400}"/>
            </a:ext>
          </a:extLst>
        </xdr:cNvPr>
        <xdr:cNvSpPr/>
      </xdr:nvSpPr>
      <xdr:spPr>
        <a:xfrm rot="5400000">
          <a:off x="2964564" y="6370119"/>
          <a:ext cx="275907" cy="1343932"/>
        </a:xfrm>
        <a:prstGeom prst="leftArrow">
          <a:avLst>
            <a:gd name="adj1" fmla="val 50000"/>
            <a:gd name="adj2" fmla="val 27778"/>
          </a:avLst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154215</xdr:colOff>
      <xdr:row>0</xdr:row>
      <xdr:rowOff>0</xdr:rowOff>
    </xdr:from>
    <xdr:to>
      <xdr:col>14</xdr:col>
      <xdr:colOff>0</xdr:colOff>
      <xdr:row>39</xdr:row>
      <xdr:rowOff>74744</xdr:rowOff>
    </xdr:to>
    <xdr:sp macro="" textlink="">
      <xdr:nvSpPr>
        <xdr:cNvPr id="3" name="Chord 2">
          <a:extLst>
            <a:ext uri="{FF2B5EF4-FFF2-40B4-BE49-F238E27FC236}">
              <a16:creationId xmlns:a16="http://schemas.microsoft.com/office/drawing/2014/main" id="{FC320C4A-1FED-48FF-BA1A-852A0BCE2AD8}"/>
            </a:ext>
          </a:extLst>
        </xdr:cNvPr>
        <xdr:cNvSpPr/>
      </xdr:nvSpPr>
      <xdr:spPr>
        <a:xfrm rot="10800000">
          <a:off x="7969250" y="0"/>
          <a:ext cx="0" cy="7707444"/>
        </a:xfrm>
        <a:prstGeom prst="chord">
          <a:avLst>
            <a:gd name="adj1" fmla="val 17613992"/>
            <a:gd name="adj2" fmla="val 14797930"/>
          </a:avLst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97274-384D-457E-9B86-A922FC102F6E}">
  <sheetPr codeName="Sheet1"/>
  <dimension ref="A1:AA140"/>
  <sheetViews>
    <sheetView tabSelected="1" zoomScale="70" zoomScaleNormal="70" workbookViewId="0"/>
  </sheetViews>
  <sheetFormatPr defaultRowHeight="15" x14ac:dyDescent="0.25"/>
  <sheetData>
    <row r="1" spans="1:25" ht="19.5" thickBot="1" x14ac:dyDescent="0.35">
      <c r="A1" s="1"/>
      <c r="B1" s="96" t="s">
        <v>0</v>
      </c>
      <c r="C1" s="96"/>
      <c r="D1" s="96"/>
      <c r="E1" s="96"/>
      <c r="F1" s="96"/>
      <c r="G1" s="1"/>
      <c r="H1" s="1"/>
      <c r="I1" s="109" t="s">
        <v>49</v>
      </c>
      <c r="J1" s="110"/>
      <c r="K1" s="110"/>
      <c r="L1" s="111"/>
    </row>
    <row r="2" spans="1:25" x14ac:dyDescent="0.25">
      <c r="A2" s="2"/>
      <c r="B2" s="3" t="s">
        <v>1</v>
      </c>
      <c r="C2" s="86"/>
      <c r="D2" s="3" t="s">
        <v>2</v>
      </c>
      <c r="E2" s="97"/>
      <c r="F2" s="97"/>
      <c r="G2" s="3" t="s">
        <v>3</v>
      </c>
      <c r="H2" s="86" t="s">
        <v>8</v>
      </c>
      <c r="I2" s="100"/>
      <c r="J2" s="101"/>
      <c r="K2" s="101"/>
      <c r="L2" s="102"/>
    </row>
    <row r="3" spans="1:25" x14ac:dyDescent="0.25">
      <c r="A3" s="2"/>
      <c r="B3" s="3" t="s">
        <v>4</v>
      </c>
      <c r="C3" s="2"/>
      <c r="D3" s="98" t="s">
        <v>5</v>
      </c>
      <c r="E3" s="98"/>
      <c r="F3" s="98"/>
      <c r="G3" s="98"/>
      <c r="H3" s="98"/>
      <c r="I3" s="103"/>
      <c r="J3" s="104"/>
      <c r="K3" s="104"/>
      <c r="L3" s="105"/>
    </row>
    <row r="4" spans="1:25" ht="15.75" thickBot="1" x14ac:dyDescent="0.3">
      <c r="A4" s="2"/>
      <c r="B4" s="3" t="s">
        <v>6</v>
      </c>
      <c r="C4" s="85">
        <f ca="1">TODAY()</f>
        <v>45588</v>
      </c>
      <c r="D4" s="3" t="s">
        <v>7</v>
      </c>
      <c r="E4" s="2"/>
      <c r="F4" s="99"/>
      <c r="G4" s="99"/>
      <c r="H4" s="99"/>
      <c r="I4" s="106"/>
      <c r="J4" s="107"/>
      <c r="K4" s="107"/>
      <c r="L4" s="108"/>
    </row>
    <row r="5" spans="1:25" ht="15.75" thickBot="1" x14ac:dyDescent="0.3"/>
    <row r="6" spans="1:25" ht="14.45" customHeight="1" x14ac:dyDescent="0.5">
      <c r="A6" s="57"/>
      <c r="B6" s="58"/>
      <c r="C6" s="26"/>
      <c r="D6" s="27"/>
      <c r="E6" s="44">
        <v>0</v>
      </c>
      <c r="F6" s="45">
        <v>0</v>
      </c>
      <c r="G6" s="44">
        <v>0</v>
      </c>
      <c r="H6" s="46">
        <v>0</v>
      </c>
      <c r="I6" s="28"/>
      <c r="J6" s="26"/>
      <c r="K6" s="57"/>
      <c r="L6" s="58"/>
      <c r="N6" s="24"/>
      <c r="O6" s="25"/>
      <c r="P6" s="26"/>
      <c r="Q6" s="27"/>
      <c r="R6" s="88">
        <v>1</v>
      </c>
      <c r="S6" s="88">
        <v>2</v>
      </c>
      <c r="T6" s="88">
        <v>3</v>
      </c>
      <c r="U6" s="88">
        <v>4</v>
      </c>
      <c r="V6" s="28"/>
      <c r="W6" s="26"/>
      <c r="X6" s="29"/>
      <c r="Y6" s="24"/>
    </row>
    <row r="7" spans="1:25" ht="14.45" customHeight="1" x14ac:dyDescent="0.5">
      <c r="A7" s="57"/>
      <c r="B7" s="58"/>
      <c r="C7" s="26"/>
      <c r="D7" s="27"/>
      <c r="E7" s="54">
        <v>1</v>
      </c>
      <c r="F7" s="55">
        <f>E7+1</f>
        <v>2</v>
      </c>
      <c r="G7" s="55">
        <f>F7+1</f>
        <v>3</v>
      </c>
      <c r="H7" s="55">
        <f>G7+1</f>
        <v>4</v>
      </c>
      <c r="I7" s="28"/>
      <c r="J7" s="26"/>
      <c r="K7" s="57"/>
      <c r="L7" s="58"/>
      <c r="N7" s="24"/>
      <c r="O7" s="25"/>
      <c r="P7" s="26"/>
      <c r="Q7" s="27"/>
      <c r="R7" s="89"/>
      <c r="S7" s="89"/>
      <c r="T7" s="89"/>
      <c r="U7" s="89"/>
      <c r="V7" s="28"/>
      <c r="W7" s="26"/>
      <c r="X7" s="29"/>
      <c r="Y7" s="24"/>
    </row>
    <row r="8" spans="1:25" ht="14.45" customHeight="1" thickBot="1" x14ac:dyDescent="0.55000000000000004">
      <c r="A8" s="24"/>
      <c r="B8" s="25"/>
      <c r="C8" s="26"/>
      <c r="D8" s="30"/>
      <c r="E8" s="48">
        <v>0</v>
      </c>
      <c r="F8" s="49">
        <v>0</v>
      </c>
      <c r="G8" s="50">
        <v>0</v>
      </c>
      <c r="H8" s="51">
        <v>0</v>
      </c>
      <c r="I8" s="31"/>
      <c r="J8" s="26"/>
      <c r="K8" s="29"/>
      <c r="L8" s="24"/>
      <c r="N8" s="24"/>
      <c r="O8" s="25"/>
      <c r="P8" s="26"/>
      <c r="Q8" s="30"/>
      <c r="R8" s="90"/>
      <c r="S8" s="90"/>
      <c r="T8" s="90"/>
      <c r="U8" s="90"/>
      <c r="V8" s="31"/>
      <c r="W8" s="26"/>
      <c r="X8" s="29"/>
      <c r="Y8" s="24"/>
    </row>
    <row r="9" spans="1:25" ht="14.45" customHeight="1" x14ac:dyDescent="0.25">
      <c r="A9" s="24"/>
      <c r="B9" s="26"/>
      <c r="C9" s="47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47">
        <v>0</v>
      </c>
      <c r="K9" s="26"/>
      <c r="L9" s="24"/>
      <c r="N9" s="24"/>
      <c r="O9" s="26"/>
      <c r="P9" s="88">
        <v>5</v>
      </c>
      <c r="Q9" s="88">
        <v>6</v>
      </c>
      <c r="R9" s="88">
        <v>7</v>
      </c>
      <c r="S9" s="88">
        <v>8</v>
      </c>
      <c r="T9" s="88">
        <v>9</v>
      </c>
      <c r="U9" s="88">
        <v>10</v>
      </c>
      <c r="V9" s="88">
        <v>11</v>
      </c>
      <c r="W9" s="88">
        <v>12</v>
      </c>
      <c r="X9" s="26"/>
      <c r="Y9" s="24"/>
    </row>
    <row r="10" spans="1:25" ht="14.45" customHeight="1" x14ac:dyDescent="0.25">
      <c r="A10" s="24"/>
      <c r="B10" s="26"/>
      <c r="C10" s="54">
        <f>MAX($A7:$L7)+1</f>
        <v>5</v>
      </c>
      <c r="D10" s="55">
        <f>C10+1</f>
        <v>6</v>
      </c>
      <c r="E10" s="55">
        <f t="shared" ref="E10:J10" si="0">D10+1</f>
        <v>7</v>
      </c>
      <c r="F10" s="55">
        <f t="shared" si="0"/>
        <v>8</v>
      </c>
      <c r="G10" s="55">
        <f t="shared" si="0"/>
        <v>9</v>
      </c>
      <c r="H10" s="55">
        <f t="shared" si="0"/>
        <v>10</v>
      </c>
      <c r="I10" s="55">
        <f t="shared" si="0"/>
        <v>11</v>
      </c>
      <c r="J10" s="55">
        <f t="shared" si="0"/>
        <v>12</v>
      </c>
      <c r="K10" s="26"/>
      <c r="L10" s="24"/>
      <c r="N10" s="24"/>
      <c r="O10" s="26"/>
      <c r="P10" s="89">
        <f>MAX($A7:$L7)+1</f>
        <v>5</v>
      </c>
      <c r="Q10" s="89">
        <f t="shared" ref="Q10:W11" si="1">P10+1</f>
        <v>6</v>
      </c>
      <c r="R10" s="89">
        <f t="shared" si="1"/>
        <v>7</v>
      </c>
      <c r="S10" s="89">
        <f t="shared" si="1"/>
        <v>8</v>
      </c>
      <c r="T10" s="89">
        <f t="shared" si="1"/>
        <v>9</v>
      </c>
      <c r="U10" s="89">
        <f t="shared" si="1"/>
        <v>10</v>
      </c>
      <c r="V10" s="89">
        <f t="shared" si="1"/>
        <v>11</v>
      </c>
      <c r="W10" s="89">
        <f t="shared" si="1"/>
        <v>12</v>
      </c>
      <c r="X10" s="26"/>
      <c r="Y10" s="24"/>
    </row>
    <row r="11" spans="1:25" ht="14.45" customHeight="1" thickBot="1" x14ac:dyDescent="0.3">
      <c r="A11" s="24"/>
      <c r="B11" s="26"/>
      <c r="C11" s="52">
        <v>0</v>
      </c>
      <c r="D11" s="52">
        <v>0</v>
      </c>
      <c r="E11" s="52">
        <v>0</v>
      </c>
      <c r="F11" s="52">
        <v>0</v>
      </c>
      <c r="G11" s="52">
        <v>0</v>
      </c>
      <c r="H11" s="52">
        <v>0</v>
      </c>
      <c r="I11" s="52">
        <v>0</v>
      </c>
      <c r="J11" s="52">
        <v>0</v>
      </c>
      <c r="K11" s="26"/>
      <c r="L11" s="24"/>
      <c r="N11" s="24"/>
      <c r="O11" s="26"/>
      <c r="P11" s="90">
        <f>MAX($A8:$L8)+1</f>
        <v>1</v>
      </c>
      <c r="Q11" s="90">
        <f t="shared" si="1"/>
        <v>2</v>
      </c>
      <c r="R11" s="90">
        <f t="shared" si="1"/>
        <v>3</v>
      </c>
      <c r="S11" s="90">
        <f t="shared" si="1"/>
        <v>4</v>
      </c>
      <c r="T11" s="90">
        <f t="shared" si="1"/>
        <v>5</v>
      </c>
      <c r="U11" s="90">
        <f t="shared" si="1"/>
        <v>6</v>
      </c>
      <c r="V11" s="90">
        <f t="shared" si="1"/>
        <v>7</v>
      </c>
      <c r="W11" s="90">
        <f t="shared" si="1"/>
        <v>8</v>
      </c>
      <c r="X11" s="26"/>
      <c r="Y11" s="24"/>
    </row>
    <row r="12" spans="1:25" ht="15.75" thickBot="1" x14ac:dyDescent="0.3">
      <c r="A12" s="24"/>
      <c r="B12" s="47">
        <v>0</v>
      </c>
      <c r="C12" s="47">
        <v>0</v>
      </c>
      <c r="D12" s="47">
        <v>0</v>
      </c>
      <c r="E12" s="47">
        <v>0</v>
      </c>
      <c r="F12" s="47">
        <v>0</v>
      </c>
      <c r="G12" s="47">
        <v>0</v>
      </c>
      <c r="H12" s="47">
        <v>0</v>
      </c>
      <c r="I12" s="47">
        <v>0</v>
      </c>
      <c r="J12" s="47">
        <v>0</v>
      </c>
      <c r="K12" s="47">
        <v>0</v>
      </c>
      <c r="L12" s="24"/>
      <c r="N12" s="24"/>
      <c r="O12" s="88">
        <v>13</v>
      </c>
      <c r="P12" s="88">
        <v>14</v>
      </c>
      <c r="Q12" s="87">
        <v>15</v>
      </c>
      <c r="R12" s="87">
        <v>16</v>
      </c>
      <c r="S12" s="87">
        <v>17</v>
      </c>
      <c r="T12" s="87">
        <v>18</v>
      </c>
      <c r="U12" s="87">
        <v>19</v>
      </c>
      <c r="V12" s="87">
        <v>20</v>
      </c>
      <c r="W12" s="87">
        <v>21</v>
      </c>
      <c r="X12" s="87">
        <v>22</v>
      </c>
      <c r="Y12" s="24"/>
    </row>
    <row r="13" spans="1:25" ht="15.75" thickBot="1" x14ac:dyDescent="0.3">
      <c r="A13" s="24"/>
      <c r="B13" s="54">
        <f>MAX($A10:$L10)+1</f>
        <v>13</v>
      </c>
      <c r="C13" s="55">
        <f>B13+1</f>
        <v>14</v>
      </c>
      <c r="D13" s="55">
        <f t="shared" ref="D13:K13" si="2">C13+1</f>
        <v>15</v>
      </c>
      <c r="E13" s="55">
        <f t="shared" si="2"/>
        <v>16</v>
      </c>
      <c r="F13" s="55">
        <f t="shared" si="2"/>
        <v>17</v>
      </c>
      <c r="G13" s="55">
        <f t="shared" si="2"/>
        <v>18</v>
      </c>
      <c r="H13" s="55">
        <f t="shared" si="2"/>
        <v>19</v>
      </c>
      <c r="I13" s="55">
        <f t="shared" si="2"/>
        <v>20</v>
      </c>
      <c r="J13" s="55">
        <f t="shared" si="2"/>
        <v>21</v>
      </c>
      <c r="K13" s="55">
        <f t="shared" si="2"/>
        <v>22</v>
      </c>
      <c r="L13" s="24"/>
      <c r="N13" s="24"/>
      <c r="O13" s="89">
        <f>MAX($A10:$L10)+1</f>
        <v>13</v>
      </c>
      <c r="P13" s="89">
        <f t="shared" ref="P13:W13" si="3">O13+1</f>
        <v>14</v>
      </c>
      <c r="Q13" s="87">
        <f t="shared" si="3"/>
        <v>15</v>
      </c>
      <c r="R13" s="87">
        <f t="shared" si="3"/>
        <v>16</v>
      </c>
      <c r="S13" s="87">
        <f t="shared" si="3"/>
        <v>17</v>
      </c>
      <c r="T13" s="87">
        <f t="shared" si="3"/>
        <v>18</v>
      </c>
      <c r="U13" s="87">
        <f t="shared" si="3"/>
        <v>19</v>
      </c>
      <c r="V13" s="87">
        <f t="shared" si="3"/>
        <v>20</v>
      </c>
      <c r="W13" s="87">
        <f t="shared" si="3"/>
        <v>21</v>
      </c>
      <c r="X13" s="87">
        <f>W13+1</f>
        <v>22</v>
      </c>
      <c r="Y13" s="24"/>
    </row>
    <row r="14" spans="1:25" ht="15.75" thickBot="1" x14ac:dyDescent="0.3">
      <c r="A14" s="24"/>
      <c r="B14" s="52">
        <v>0</v>
      </c>
      <c r="C14" s="52">
        <v>0</v>
      </c>
      <c r="D14" s="52">
        <v>0</v>
      </c>
      <c r="E14" s="52">
        <v>0</v>
      </c>
      <c r="F14" s="52">
        <v>0</v>
      </c>
      <c r="G14" s="52">
        <v>0</v>
      </c>
      <c r="H14" s="52">
        <v>0</v>
      </c>
      <c r="I14" s="52">
        <v>0</v>
      </c>
      <c r="J14" s="52">
        <v>0</v>
      </c>
      <c r="K14" s="52">
        <v>0</v>
      </c>
      <c r="L14" s="24"/>
      <c r="N14" s="24"/>
      <c r="O14" s="90">
        <f>MAX($A11:$L11)+1</f>
        <v>1</v>
      </c>
      <c r="P14" s="90">
        <f t="shared" ref="P14:W14" si="4">O14+1</f>
        <v>2</v>
      </c>
      <c r="Q14" s="87">
        <f t="shared" si="4"/>
        <v>3</v>
      </c>
      <c r="R14" s="87">
        <f t="shared" si="4"/>
        <v>4</v>
      </c>
      <c r="S14" s="87">
        <f t="shared" si="4"/>
        <v>5</v>
      </c>
      <c r="T14" s="87">
        <f t="shared" si="4"/>
        <v>6</v>
      </c>
      <c r="U14" s="87">
        <f t="shared" si="4"/>
        <v>7</v>
      </c>
      <c r="V14" s="87">
        <f t="shared" si="4"/>
        <v>8</v>
      </c>
      <c r="W14" s="87">
        <f t="shared" si="4"/>
        <v>9</v>
      </c>
      <c r="X14" s="87">
        <f>W14+1</f>
        <v>10</v>
      </c>
      <c r="Y14" s="24"/>
    </row>
    <row r="15" spans="1:25" ht="15.75" thickBot="1" x14ac:dyDescent="0.3">
      <c r="A15" s="24"/>
      <c r="B15" s="47">
        <v>0</v>
      </c>
      <c r="C15" s="47">
        <v>0</v>
      </c>
      <c r="D15" s="47">
        <v>0</v>
      </c>
      <c r="E15" s="47">
        <v>0</v>
      </c>
      <c r="F15" s="47">
        <v>0</v>
      </c>
      <c r="G15" s="47">
        <v>0</v>
      </c>
      <c r="H15" s="47">
        <v>0</v>
      </c>
      <c r="I15" s="47">
        <v>0</v>
      </c>
      <c r="J15" s="47">
        <v>0</v>
      </c>
      <c r="K15" s="47">
        <v>0</v>
      </c>
      <c r="L15" s="24"/>
      <c r="N15" s="24"/>
      <c r="O15" s="87">
        <v>23</v>
      </c>
      <c r="P15" s="87">
        <v>24</v>
      </c>
      <c r="Q15" s="87">
        <v>25</v>
      </c>
      <c r="R15" s="87">
        <v>26</v>
      </c>
      <c r="S15" s="87">
        <v>27</v>
      </c>
      <c r="T15" s="87">
        <v>28</v>
      </c>
      <c r="U15" s="87">
        <v>29</v>
      </c>
      <c r="V15" s="87">
        <v>30</v>
      </c>
      <c r="W15" s="87">
        <v>31</v>
      </c>
      <c r="X15" s="87">
        <v>32</v>
      </c>
      <c r="Y15" s="24"/>
    </row>
    <row r="16" spans="1:25" ht="15.75" thickBot="1" x14ac:dyDescent="0.3">
      <c r="A16" s="24"/>
      <c r="B16" s="54">
        <f>MAX($A13:$L13)+1</f>
        <v>23</v>
      </c>
      <c r="C16" s="55">
        <f>B16+1</f>
        <v>24</v>
      </c>
      <c r="D16" s="55">
        <f t="shared" ref="D16:K16" si="5">C16+1</f>
        <v>25</v>
      </c>
      <c r="E16" s="55">
        <f t="shared" si="5"/>
        <v>26</v>
      </c>
      <c r="F16" s="55">
        <f t="shared" si="5"/>
        <v>27</v>
      </c>
      <c r="G16" s="55">
        <f t="shared" si="5"/>
        <v>28</v>
      </c>
      <c r="H16" s="55">
        <f t="shared" si="5"/>
        <v>29</v>
      </c>
      <c r="I16" s="55">
        <f t="shared" si="5"/>
        <v>30</v>
      </c>
      <c r="J16" s="55">
        <f t="shared" si="5"/>
        <v>31</v>
      </c>
      <c r="K16" s="55">
        <f t="shared" si="5"/>
        <v>32</v>
      </c>
      <c r="L16" s="24"/>
      <c r="N16" s="24"/>
      <c r="O16" s="87">
        <f>MAX($A13:$L13)+1</f>
        <v>23</v>
      </c>
      <c r="P16" s="87">
        <f t="shared" ref="P16:W16" si="6">O16+1</f>
        <v>24</v>
      </c>
      <c r="Q16" s="87">
        <f t="shared" si="6"/>
        <v>25</v>
      </c>
      <c r="R16" s="87">
        <f t="shared" si="6"/>
        <v>26</v>
      </c>
      <c r="S16" s="87">
        <f t="shared" si="6"/>
        <v>27</v>
      </c>
      <c r="T16" s="87">
        <f t="shared" si="6"/>
        <v>28</v>
      </c>
      <c r="U16" s="87">
        <f t="shared" si="6"/>
        <v>29</v>
      </c>
      <c r="V16" s="87">
        <f t="shared" si="6"/>
        <v>30</v>
      </c>
      <c r="W16" s="87">
        <f t="shared" si="6"/>
        <v>31</v>
      </c>
      <c r="X16" s="87">
        <f>W16+1</f>
        <v>32</v>
      </c>
      <c r="Y16" s="24"/>
    </row>
    <row r="17" spans="1:25" ht="15.75" thickBot="1" x14ac:dyDescent="0.3">
      <c r="A17" s="24"/>
      <c r="B17" s="52">
        <v>0</v>
      </c>
      <c r="C17" s="52">
        <v>0</v>
      </c>
      <c r="D17" s="52">
        <v>0</v>
      </c>
      <c r="E17" s="52">
        <v>0</v>
      </c>
      <c r="F17" s="52">
        <v>0</v>
      </c>
      <c r="G17" s="52">
        <v>0</v>
      </c>
      <c r="H17" s="52">
        <v>0</v>
      </c>
      <c r="I17" s="52">
        <v>0</v>
      </c>
      <c r="J17" s="52">
        <v>0</v>
      </c>
      <c r="K17" s="52">
        <v>0</v>
      </c>
      <c r="L17" s="24"/>
      <c r="N17" s="24"/>
      <c r="O17" s="87">
        <f>MAX($A14:$L14)+1</f>
        <v>1</v>
      </c>
      <c r="P17" s="87">
        <f t="shared" ref="P17:W17" si="7">O17+1</f>
        <v>2</v>
      </c>
      <c r="Q17" s="87">
        <f t="shared" si="7"/>
        <v>3</v>
      </c>
      <c r="R17" s="87">
        <f t="shared" si="7"/>
        <v>4</v>
      </c>
      <c r="S17" s="87">
        <f t="shared" si="7"/>
        <v>5</v>
      </c>
      <c r="T17" s="87">
        <f t="shared" si="7"/>
        <v>6</v>
      </c>
      <c r="U17" s="87">
        <f t="shared" si="7"/>
        <v>7</v>
      </c>
      <c r="V17" s="87">
        <f t="shared" si="7"/>
        <v>8</v>
      </c>
      <c r="W17" s="87">
        <f t="shared" si="7"/>
        <v>9</v>
      </c>
      <c r="X17" s="87">
        <f>W17+1</f>
        <v>10</v>
      </c>
      <c r="Y17" s="24"/>
    </row>
    <row r="18" spans="1:25" ht="15.75" thickBot="1" x14ac:dyDescent="0.3">
      <c r="A18" s="47">
        <v>0</v>
      </c>
      <c r="B18" s="47">
        <v>0</v>
      </c>
      <c r="C18" s="47">
        <v>0</v>
      </c>
      <c r="D18" s="47">
        <v>0</v>
      </c>
      <c r="E18" s="47">
        <v>0</v>
      </c>
      <c r="F18" s="47">
        <v>0</v>
      </c>
      <c r="G18" s="47">
        <v>0</v>
      </c>
      <c r="H18" s="47">
        <v>0</v>
      </c>
      <c r="I18" s="47">
        <v>0</v>
      </c>
      <c r="J18" s="47">
        <v>0</v>
      </c>
      <c r="K18" s="47">
        <v>0</v>
      </c>
      <c r="L18" s="47">
        <v>0</v>
      </c>
      <c r="N18" s="87">
        <v>33</v>
      </c>
      <c r="O18" s="87">
        <v>34</v>
      </c>
      <c r="P18" s="87">
        <v>35</v>
      </c>
      <c r="Q18" s="87">
        <v>36</v>
      </c>
      <c r="R18" s="87">
        <v>37</v>
      </c>
      <c r="S18" s="87">
        <v>38</v>
      </c>
      <c r="T18" s="87">
        <v>39</v>
      </c>
      <c r="U18" s="87">
        <v>40</v>
      </c>
      <c r="V18" s="87">
        <v>41</v>
      </c>
      <c r="W18" s="87">
        <v>42</v>
      </c>
      <c r="X18" s="87">
        <v>43</v>
      </c>
      <c r="Y18" s="87">
        <v>44</v>
      </c>
    </row>
    <row r="19" spans="1:25" ht="15.75" thickBot="1" x14ac:dyDescent="0.3">
      <c r="A19" s="54">
        <f>MAX($A16:$L16)+1</f>
        <v>33</v>
      </c>
      <c r="B19" s="55">
        <f>A19+1</f>
        <v>34</v>
      </c>
      <c r="C19" s="55">
        <f t="shared" ref="C19:L19" si="8">B19+1</f>
        <v>35</v>
      </c>
      <c r="D19" s="55">
        <f t="shared" si="8"/>
        <v>36</v>
      </c>
      <c r="E19" s="55">
        <f t="shared" si="8"/>
        <v>37</v>
      </c>
      <c r="F19" s="56">
        <f t="shared" si="8"/>
        <v>38</v>
      </c>
      <c r="G19" s="55">
        <f t="shared" si="8"/>
        <v>39</v>
      </c>
      <c r="H19" s="55">
        <f t="shared" si="8"/>
        <v>40</v>
      </c>
      <c r="I19" s="55">
        <f t="shared" si="8"/>
        <v>41</v>
      </c>
      <c r="J19" s="55">
        <f t="shared" si="8"/>
        <v>42</v>
      </c>
      <c r="K19" s="55">
        <f t="shared" si="8"/>
        <v>43</v>
      </c>
      <c r="L19" s="55">
        <f t="shared" si="8"/>
        <v>44</v>
      </c>
      <c r="N19" s="87">
        <f>MAX($A16:$L16)+1</f>
        <v>33</v>
      </c>
      <c r="O19" s="87">
        <f t="shared" ref="O19:W19" si="9">N19+1</f>
        <v>34</v>
      </c>
      <c r="P19" s="87">
        <f t="shared" si="9"/>
        <v>35</v>
      </c>
      <c r="Q19" s="87">
        <f t="shared" si="9"/>
        <v>36</v>
      </c>
      <c r="R19" s="87">
        <f t="shared" si="9"/>
        <v>37</v>
      </c>
      <c r="S19" s="87">
        <f t="shared" si="9"/>
        <v>38</v>
      </c>
      <c r="T19" s="87">
        <f t="shared" si="9"/>
        <v>39</v>
      </c>
      <c r="U19" s="87">
        <f t="shared" si="9"/>
        <v>40</v>
      </c>
      <c r="V19" s="87">
        <f t="shared" si="9"/>
        <v>41</v>
      </c>
      <c r="W19" s="87">
        <f t="shared" si="9"/>
        <v>42</v>
      </c>
      <c r="X19" s="87">
        <f>W19+1</f>
        <v>43</v>
      </c>
      <c r="Y19" s="87">
        <f>X19+1</f>
        <v>44</v>
      </c>
    </row>
    <row r="20" spans="1:25" ht="15.75" thickBot="1" x14ac:dyDescent="0.3">
      <c r="A20" s="52">
        <v>0</v>
      </c>
      <c r="B20" s="52">
        <v>0</v>
      </c>
      <c r="C20" s="52">
        <v>0</v>
      </c>
      <c r="D20" s="52">
        <v>0</v>
      </c>
      <c r="E20" s="52">
        <v>0</v>
      </c>
      <c r="F20" s="52">
        <v>0</v>
      </c>
      <c r="G20" s="52">
        <v>0</v>
      </c>
      <c r="H20" s="52">
        <v>0</v>
      </c>
      <c r="I20" s="52">
        <v>0</v>
      </c>
      <c r="J20" s="52">
        <v>0</v>
      </c>
      <c r="K20" s="52">
        <v>0</v>
      </c>
      <c r="L20" s="52">
        <v>0</v>
      </c>
      <c r="N20" s="87">
        <f>MAX($A17:$L17)+1</f>
        <v>1</v>
      </c>
      <c r="O20" s="87">
        <f t="shared" ref="O20:W20" si="10">N20+1</f>
        <v>2</v>
      </c>
      <c r="P20" s="87">
        <f t="shared" si="10"/>
        <v>3</v>
      </c>
      <c r="Q20" s="87">
        <f t="shared" si="10"/>
        <v>4</v>
      </c>
      <c r="R20" s="87">
        <f t="shared" si="10"/>
        <v>5</v>
      </c>
      <c r="S20" s="87">
        <f t="shared" si="10"/>
        <v>6</v>
      </c>
      <c r="T20" s="87">
        <f t="shared" si="10"/>
        <v>7</v>
      </c>
      <c r="U20" s="87">
        <f t="shared" si="10"/>
        <v>8</v>
      </c>
      <c r="V20" s="87">
        <f t="shared" si="10"/>
        <v>9</v>
      </c>
      <c r="W20" s="87">
        <f t="shared" si="10"/>
        <v>10</v>
      </c>
      <c r="X20" s="87">
        <f>W20+1</f>
        <v>11</v>
      </c>
      <c r="Y20" s="87">
        <f>X20+1</f>
        <v>12</v>
      </c>
    </row>
    <row r="21" spans="1:25" ht="15.75" thickBot="1" x14ac:dyDescent="0.3">
      <c r="A21" s="47">
        <v>0</v>
      </c>
      <c r="B21" s="47">
        <v>0</v>
      </c>
      <c r="C21" s="47">
        <v>0</v>
      </c>
      <c r="D21" s="47">
        <v>0</v>
      </c>
      <c r="E21" s="47">
        <v>0</v>
      </c>
      <c r="F21" s="47">
        <v>0</v>
      </c>
      <c r="G21" s="47">
        <v>0</v>
      </c>
      <c r="H21" s="47">
        <v>0</v>
      </c>
      <c r="I21" s="47">
        <v>0</v>
      </c>
      <c r="J21" s="47">
        <v>0</v>
      </c>
      <c r="K21" s="47">
        <v>0</v>
      </c>
      <c r="L21" s="47">
        <v>0</v>
      </c>
      <c r="N21" s="87">
        <v>45</v>
      </c>
      <c r="O21" s="87">
        <v>46</v>
      </c>
      <c r="P21" s="87">
        <v>47</v>
      </c>
      <c r="Q21" s="87">
        <v>48</v>
      </c>
      <c r="R21" s="87">
        <v>49</v>
      </c>
      <c r="S21" s="87">
        <v>50</v>
      </c>
      <c r="T21" s="87">
        <v>51</v>
      </c>
      <c r="U21" s="87">
        <v>52</v>
      </c>
      <c r="V21" s="87">
        <v>53</v>
      </c>
      <c r="W21" s="87">
        <v>54</v>
      </c>
      <c r="X21" s="87">
        <v>55</v>
      </c>
      <c r="Y21" s="87">
        <v>56</v>
      </c>
    </row>
    <row r="22" spans="1:25" ht="15.75" thickBot="1" x14ac:dyDescent="0.3">
      <c r="A22" s="54">
        <f>MAX($A19:$L19)+1</f>
        <v>45</v>
      </c>
      <c r="B22" s="55">
        <f>A22+1</f>
        <v>46</v>
      </c>
      <c r="C22" s="55">
        <f t="shared" ref="C22:L22" si="11">B22+1</f>
        <v>47</v>
      </c>
      <c r="D22" s="55">
        <f t="shared" si="11"/>
        <v>48</v>
      </c>
      <c r="E22" s="55">
        <f t="shared" si="11"/>
        <v>49</v>
      </c>
      <c r="F22" s="55">
        <f t="shared" si="11"/>
        <v>50</v>
      </c>
      <c r="G22" s="55">
        <f t="shared" si="11"/>
        <v>51</v>
      </c>
      <c r="H22" s="55">
        <f t="shared" si="11"/>
        <v>52</v>
      </c>
      <c r="I22" s="55">
        <f t="shared" si="11"/>
        <v>53</v>
      </c>
      <c r="J22" s="55">
        <f t="shared" si="11"/>
        <v>54</v>
      </c>
      <c r="K22" s="55">
        <f t="shared" si="11"/>
        <v>55</v>
      </c>
      <c r="L22" s="55">
        <f t="shared" si="11"/>
        <v>56</v>
      </c>
      <c r="N22" s="87">
        <f>MAX($A19:$L19)+1</f>
        <v>45</v>
      </c>
      <c r="O22" s="87">
        <f t="shared" ref="O22:Y22" si="12">N22+1</f>
        <v>46</v>
      </c>
      <c r="P22" s="87">
        <f t="shared" si="12"/>
        <v>47</v>
      </c>
      <c r="Q22" s="87">
        <f t="shared" si="12"/>
        <v>48</v>
      </c>
      <c r="R22" s="87">
        <f t="shared" si="12"/>
        <v>49</v>
      </c>
      <c r="S22" s="87">
        <f t="shared" si="12"/>
        <v>50</v>
      </c>
      <c r="T22" s="87">
        <f t="shared" si="12"/>
        <v>51</v>
      </c>
      <c r="U22" s="87">
        <f t="shared" si="12"/>
        <v>52</v>
      </c>
      <c r="V22" s="87">
        <f t="shared" si="12"/>
        <v>53</v>
      </c>
      <c r="W22" s="87">
        <f t="shared" si="12"/>
        <v>54</v>
      </c>
      <c r="X22" s="87">
        <f t="shared" si="12"/>
        <v>55</v>
      </c>
      <c r="Y22" s="87">
        <f t="shared" si="12"/>
        <v>56</v>
      </c>
    </row>
    <row r="23" spans="1:25" ht="15.75" thickBot="1" x14ac:dyDescent="0.3">
      <c r="A23" s="52">
        <v>0</v>
      </c>
      <c r="B23" s="52">
        <v>0</v>
      </c>
      <c r="C23" s="52">
        <v>0</v>
      </c>
      <c r="D23" s="52">
        <v>0</v>
      </c>
      <c r="E23" s="52">
        <v>0</v>
      </c>
      <c r="F23" s="52">
        <v>0</v>
      </c>
      <c r="G23" s="52">
        <v>0</v>
      </c>
      <c r="H23" s="52">
        <v>0</v>
      </c>
      <c r="I23" s="52">
        <v>0</v>
      </c>
      <c r="J23" s="52">
        <v>0</v>
      </c>
      <c r="K23" s="52">
        <v>0</v>
      </c>
      <c r="L23" s="52">
        <v>0</v>
      </c>
      <c r="N23" s="87">
        <f>MAX($A20:$L20)+1</f>
        <v>1</v>
      </c>
      <c r="O23" s="87">
        <f t="shared" ref="O23:Y23" si="13">N23+1</f>
        <v>2</v>
      </c>
      <c r="P23" s="87">
        <f t="shared" si="13"/>
        <v>3</v>
      </c>
      <c r="Q23" s="87">
        <f t="shared" si="13"/>
        <v>4</v>
      </c>
      <c r="R23" s="87">
        <f t="shared" si="13"/>
        <v>5</v>
      </c>
      <c r="S23" s="87">
        <f t="shared" si="13"/>
        <v>6</v>
      </c>
      <c r="T23" s="87">
        <f t="shared" si="13"/>
        <v>7</v>
      </c>
      <c r="U23" s="87">
        <f t="shared" si="13"/>
        <v>8</v>
      </c>
      <c r="V23" s="87">
        <f t="shared" si="13"/>
        <v>9</v>
      </c>
      <c r="W23" s="87">
        <f t="shared" si="13"/>
        <v>10</v>
      </c>
      <c r="X23" s="87">
        <f t="shared" si="13"/>
        <v>11</v>
      </c>
      <c r="Y23" s="87">
        <f t="shared" si="13"/>
        <v>12</v>
      </c>
    </row>
    <row r="24" spans="1:25" ht="15.75" thickBot="1" x14ac:dyDescent="0.3">
      <c r="A24" s="24"/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47">
        <v>0</v>
      </c>
      <c r="H24" s="47">
        <v>0</v>
      </c>
      <c r="I24" s="47">
        <v>0</v>
      </c>
      <c r="J24" s="47">
        <v>0</v>
      </c>
      <c r="K24" s="47">
        <v>0</v>
      </c>
      <c r="L24" s="24"/>
      <c r="N24" s="24"/>
      <c r="O24" s="87">
        <v>57</v>
      </c>
      <c r="P24" s="87">
        <v>58</v>
      </c>
      <c r="Q24" s="87">
        <v>59</v>
      </c>
      <c r="R24" s="87">
        <v>60</v>
      </c>
      <c r="S24" s="87">
        <v>61</v>
      </c>
      <c r="T24" s="87">
        <v>62</v>
      </c>
      <c r="U24" s="87">
        <v>63</v>
      </c>
      <c r="V24" s="87">
        <v>64</v>
      </c>
      <c r="W24" s="87">
        <v>65</v>
      </c>
      <c r="X24" s="87">
        <v>66</v>
      </c>
      <c r="Y24" s="24"/>
    </row>
    <row r="25" spans="1:25" ht="15.75" thickBot="1" x14ac:dyDescent="0.3">
      <c r="A25" s="24"/>
      <c r="B25" s="54">
        <f>MAX($A22:$L22)+1</f>
        <v>57</v>
      </c>
      <c r="C25" s="55">
        <f>B25+1</f>
        <v>58</v>
      </c>
      <c r="D25" s="55">
        <f t="shared" ref="D25:K25" si="14">C25+1</f>
        <v>59</v>
      </c>
      <c r="E25" s="55">
        <f t="shared" si="14"/>
        <v>60</v>
      </c>
      <c r="F25" s="55">
        <f t="shared" si="14"/>
        <v>61</v>
      </c>
      <c r="G25" s="55">
        <f t="shared" si="14"/>
        <v>62</v>
      </c>
      <c r="H25" s="55">
        <f t="shared" si="14"/>
        <v>63</v>
      </c>
      <c r="I25" s="55">
        <f t="shared" si="14"/>
        <v>64</v>
      </c>
      <c r="J25" s="55">
        <f t="shared" si="14"/>
        <v>65</v>
      </c>
      <c r="K25" s="55">
        <f t="shared" si="14"/>
        <v>66</v>
      </c>
      <c r="L25" s="24"/>
      <c r="N25" s="24"/>
      <c r="O25" s="87">
        <f>MAX($A22:$L22)+1</f>
        <v>57</v>
      </c>
      <c r="P25" s="87">
        <f t="shared" ref="P25:X25" si="15">O25+1</f>
        <v>58</v>
      </c>
      <c r="Q25" s="87">
        <f t="shared" si="15"/>
        <v>59</v>
      </c>
      <c r="R25" s="87">
        <f t="shared" si="15"/>
        <v>60</v>
      </c>
      <c r="S25" s="87">
        <f t="shared" si="15"/>
        <v>61</v>
      </c>
      <c r="T25" s="87">
        <f t="shared" si="15"/>
        <v>62</v>
      </c>
      <c r="U25" s="87">
        <f t="shared" si="15"/>
        <v>63</v>
      </c>
      <c r="V25" s="87">
        <f t="shared" si="15"/>
        <v>64</v>
      </c>
      <c r="W25" s="87">
        <f t="shared" si="15"/>
        <v>65</v>
      </c>
      <c r="X25" s="87">
        <f t="shared" si="15"/>
        <v>66</v>
      </c>
      <c r="Y25" s="24"/>
    </row>
    <row r="26" spans="1:25" ht="15.75" thickBot="1" x14ac:dyDescent="0.3">
      <c r="A26" s="24"/>
      <c r="B26" s="52">
        <v>0</v>
      </c>
      <c r="C26" s="52">
        <v>0</v>
      </c>
      <c r="D26" s="52">
        <v>0</v>
      </c>
      <c r="E26" s="52">
        <v>0</v>
      </c>
      <c r="F26" s="52">
        <v>0</v>
      </c>
      <c r="G26" s="52">
        <v>0</v>
      </c>
      <c r="H26" s="52">
        <v>0</v>
      </c>
      <c r="I26" s="52">
        <v>0</v>
      </c>
      <c r="J26" s="52">
        <v>0</v>
      </c>
      <c r="K26" s="52">
        <v>0</v>
      </c>
      <c r="L26" s="24"/>
      <c r="N26" s="24"/>
      <c r="O26" s="87">
        <f>MAX($A23:$L23)+1</f>
        <v>1</v>
      </c>
      <c r="P26" s="87">
        <f t="shared" ref="P26:X26" si="16">O26+1</f>
        <v>2</v>
      </c>
      <c r="Q26" s="87">
        <f t="shared" si="16"/>
        <v>3</v>
      </c>
      <c r="R26" s="87">
        <f t="shared" si="16"/>
        <v>4</v>
      </c>
      <c r="S26" s="87">
        <f t="shared" si="16"/>
        <v>5</v>
      </c>
      <c r="T26" s="87">
        <f t="shared" si="16"/>
        <v>6</v>
      </c>
      <c r="U26" s="87">
        <f t="shared" si="16"/>
        <v>7</v>
      </c>
      <c r="V26" s="87">
        <f t="shared" si="16"/>
        <v>8</v>
      </c>
      <c r="W26" s="87">
        <f t="shared" si="16"/>
        <v>9</v>
      </c>
      <c r="X26" s="87">
        <f t="shared" si="16"/>
        <v>10</v>
      </c>
      <c r="Y26" s="24"/>
    </row>
    <row r="27" spans="1:25" ht="15.75" thickBot="1" x14ac:dyDescent="0.3">
      <c r="A27" s="24"/>
      <c r="B27" s="47">
        <v>0</v>
      </c>
      <c r="C27" s="47">
        <v>0</v>
      </c>
      <c r="D27" s="47">
        <v>0</v>
      </c>
      <c r="E27" s="47">
        <v>0</v>
      </c>
      <c r="F27" s="47">
        <v>0</v>
      </c>
      <c r="G27" s="47">
        <v>0</v>
      </c>
      <c r="H27" s="47">
        <v>0</v>
      </c>
      <c r="I27" s="47">
        <v>0</v>
      </c>
      <c r="J27" s="47">
        <v>0</v>
      </c>
      <c r="K27" s="47">
        <v>0</v>
      </c>
      <c r="L27" s="24"/>
      <c r="N27" s="24"/>
      <c r="O27" s="87">
        <v>67</v>
      </c>
      <c r="P27" s="87">
        <v>68</v>
      </c>
      <c r="Q27" s="87">
        <v>69</v>
      </c>
      <c r="R27" s="87">
        <v>70</v>
      </c>
      <c r="S27" s="87">
        <v>71</v>
      </c>
      <c r="T27" s="87">
        <v>72</v>
      </c>
      <c r="U27" s="87">
        <v>73</v>
      </c>
      <c r="V27" s="87">
        <v>74</v>
      </c>
      <c r="W27" s="91">
        <v>75</v>
      </c>
      <c r="X27" s="87">
        <v>76</v>
      </c>
      <c r="Y27" s="24"/>
    </row>
    <row r="28" spans="1:25" ht="15.75" thickBot="1" x14ac:dyDescent="0.3">
      <c r="A28" s="24"/>
      <c r="B28" s="54">
        <f>MAX($A25:$L25)+1</f>
        <v>67</v>
      </c>
      <c r="C28" s="55">
        <f>B28+1</f>
        <v>68</v>
      </c>
      <c r="D28" s="55">
        <f t="shared" ref="D28:K28" si="17">C28+1</f>
        <v>69</v>
      </c>
      <c r="E28" s="55">
        <f t="shared" si="17"/>
        <v>70</v>
      </c>
      <c r="F28" s="55">
        <f t="shared" si="17"/>
        <v>71</v>
      </c>
      <c r="G28" s="55">
        <f t="shared" si="17"/>
        <v>72</v>
      </c>
      <c r="H28" s="55">
        <f t="shared" si="17"/>
        <v>73</v>
      </c>
      <c r="I28" s="55">
        <f t="shared" si="17"/>
        <v>74</v>
      </c>
      <c r="J28" s="55">
        <f t="shared" si="17"/>
        <v>75</v>
      </c>
      <c r="K28" s="55">
        <f t="shared" si="17"/>
        <v>76</v>
      </c>
      <c r="L28" s="24"/>
      <c r="N28" s="24"/>
      <c r="O28" s="87">
        <f>MAX($A25:$L25)+1</f>
        <v>67</v>
      </c>
      <c r="P28" s="87">
        <f t="shared" ref="P28:X28" si="18">O28+1</f>
        <v>68</v>
      </c>
      <c r="Q28" s="87">
        <f t="shared" si="18"/>
        <v>69</v>
      </c>
      <c r="R28" s="87">
        <f t="shared" si="18"/>
        <v>70</v>
      </c>
      <c r="S28" s="87">
        <f t="shared" si="18"/>
        <v>71</v>
      </c>
      <c r="T28" s="87">
        <f t="shared" si="18"/>
        <v>72</v>
      </c>
      <c r="U28" s="87">
        <f t="shared" si="18"/>
        <v>73</v>
      </c>
      <c r="V28" s="87">
        <f t="shared" si="18"/>
        <v>74</v>
      </c>
      <c r="W28" s="92">
        <f t="shared" si="18"/>
        <v>75</v>
      </c>
      <c r="X28" s="87">
        <f t="shared" si="18"/>
        <v>76</v>
      </c>
      <c r="Y28" s="24"/>
    </row>
    <row r="29" spans="1:25" ht="15.75" thickBot="1" x14ac:dyDescent="0.3">
      <c r="A29" s="24"/>
      <c r="B29" s="52">
        <v>0</v>
      </c>
      <c r="C29" s="52">
        <v>0</v>
      </c>
      <c r="D29" s="52">
        <v>0</v>
      </c>
      <c r="E29" s="52">
        <v>0</v>
      </c>
      <c r="F29" s="52">
        <v>0</v>
      </c>
      <c r="G29" s="52">
        <v>0</v>
      </c>
      <c r="H29" s="52">
        <v>0</v>
      </c>
      <c r="I29" s="52">
        <v>0</v>
      </c>
      <c r="J29" s="52">
        <v>0</v>
      </c>
      <c r="K29" s="52">
        <v>0</v>
      </c>
      <c r="L29" s="24"/>
      <c r="N29" s="24"/>
      <c r="O29" s="87">
        <f>MAX($A26:$L26)+1</f>
        <v>1</v>
      </c>
      <c r="P29" s="87">
        <f t="shared" ref="P29:X29" si="19">O29+1</f>
        <v>2</v>
      </c>
      <c r="Q29" s="87">
        <f t="shared" si="19"/>
        <v>3</v>
      </c>
      <c r="R29" s="87">
        <f t="shared" si="19"/>
        <v>4</v>
      </c>
      <c r="S29" s="87">
        <f t="shared" si="19"/>
        <v>5</v>
      </c>
      <c r="T29" s="87">
        <f t="shared" si="19"/>
        <v>6</v>
      </c>
      <c r="U29" s="87">
        <f t="shared" si="19"/>
        <v>7</v>
      </c>
      <c r="V29" s="87">
        <f t="shared" si="19"/>
        <v>8</v>
      </c>
      <c r="W29" s="93">
        <f t="shared" si="19"/>
        <v>9</v>
      </c>
      <c r="X29" s="87">
        <f t="shared" si="19"/>
        <v>10</v>
      </c>
      <c r="Y29" s="24"/>
    </row>
    <row r="30" spans="1:25" ht="16.5" thickBot="1" x14ac:dyDescent="0.3">
      <c r="A30" s="24"/>
      <c r="B30" s="26"/>
      <c r="C30" s="47">
        <v>0</v>
      </c>
      <c r="D30" s="47">
        <v>0</v>
      </c>
      <c r="E30" s="47">
        <v>0</v>
      </c>
      <c r="F30" s="47">
        <v>0</v>
      </c>
      <c r="G30" s="47">
        <v>0</v>
      </c>
      <c r="H30" s="47">
        <v>0</v>
      </c>
      <c r="I30" s="47">
        <v>0</v>
      </c>
      <c r="J30" s="47">
        <v>0</v>
      </c>
      <c r="K30" s="26"/>
      <c r="L30" s="24"/>
      <c r="N30" s="24"/>
      <c r="O30" s="26"/>
      <c r="P30" s="87">
        <v>77</v>
      </c>
      <c r="Q30" s="87">
        <v>78</v>
      </c>
      <c r="R30" s="87">
        <v>79</v>
      </c>
      <c r="S30" s="87">
        <v>80</v>
      </c>
      <c r="T30" s="87">
        <v>81</v>
      </c>
      <c r="U30" s="88">
        <v>82</v>
      </c>
      <c r="V30" s="87">
        <v>83</v>
      </c>
      <c r="W30" s="87">
        <v>84</v>
      </c>
      <c r="X30" s="26"/>
      <c r="Y30" s="24"/>
    </row>
    <row r="31" spans="1:25" ht="16.5" thickBot="1" x14ac:dyDescent="0.3">
      <c r="A31" s="24"/>
      <c r="B31" s="26"/>
      <c r="C31" s="54">
        <f>MAX($A28:$L28)+1</f>
        <v>77</v>
      </c>
      <c r="D31" s="55">
        <f>C31+1</f>
        <v>78</v>
      </c>
      <c r="E31" s="55">
        <f t="shared" ref="E31:J31" si="20">D31+1</f>
        <v>79</v>
      </c>
      <c r="F31" s="55">
        <f t="shared" si="20"/>
        <v>80</v>
      </c>
      <c r="G31" s="55">
        <f t="shared" si="20"/>
        <v>81</v>
      </c>
      <c r="H31" s="55">
        <f t="shared" si="20"/>
        <v>82</v>
      </c>
      <c r="I31" s="55">
        <f t="shared" si="20"/>
        <v>83</v>
      </c>
      <c r="J31" s="55">
        <f t="shared" si="20"/>
        <v>84</v>
      </c>
      <c r="K31" s="26"/>
      <c r="L31" s="24"/>
      <c r="N31" s="24"/>
      <c r="O31" s="26"/>
      <c r="P31" s="87">
        <f>MAX($A28:$L28)+1</f>
        <v>77</v>
      </c>
      <c r="Q31" s="87">
        <f>P31+1</f>
        <v>78</v>
      </c>
      <c r="R31" s="87">
        <f t="shared" ref="R31:W31" si="21">Q31+1</f>
        <v>79</v>
      </c>
      <c r="S31" s="87">
        <f t="shared" si="21"/>
        <v>80</v>
      </c>
      <c r="T31" s="87">
        <f t="shared" si="21"/>
        <v>81</v>
      </c>
      <c r="U31" s="89">
        <f t="shared" si="21"/>
        <v>82</v>
      </c>
      <c r="V31" s="87">
        <f t="shared" si="21"/>
        <v>83</v>
      </c>
      <c r="W31" s="87">
        <f t="shared" si="21"/>
        <v>84</v>
      </c>
      <c r="X31" s="26"/>
      <c r="Y31" s="24"/>
    </row>
    <row r="32" spans="1:25" ht="16.5" thickBot="1" x14ac:dyDescent="0.3">
      <c r="A32" s="24"/>
      <c r="B32" s="26"/>
      <c r="C32" s="52">
        <v>0</v>
      </c>
      <c r="D32" s="52">
        <v>0</v>
      </c>
      <c r="E32" s="52">
        <v>0</v>
      </c>
      <c r="F32" s="52">
        <v>0</v>
      </c>
      <c r="G32" s="52">
        <v>0</v>
      </c>
      <c r="H32" s="52">
        <v>0</v>
      </c>
      <c r="I32" s="52">
        <v>0</v>
      </c>
      <c r="J32" s="52">
        <v>0</v>
      </c>
      <c r="K32" s="26"/>
      <c r="L32" s="24"/>
      <c r="N32" s="24"/>
      <c r="O32" s="26"/>
      <c r="P32" s="87">
        <f>MAX($A29:$L29)+1</f>
        <v>1</v>
      </c>
      <c r="Q32" s="87">
        <f>P32+1</f>
        <v>2</v>
      </c>
      <c r="R32" s="87">
        <f t="shared" ref="R32:W32" si="22">Q32+1</f>
        <v>3</v>
      </c>
      <c r="S32" s="87">
        <f t="shared" si="22"/>
        <v>4</v>
      </c>
      <c r="T32" s="87">
        <f t="shared" si="22"/>
        <v>5</v>
      </c>
      <c r="U32" s="90">
        <f t="shared" si="22"/>
        <v>6</v>
      </c>
      <c r="V32" s="87">
        <f t="shared" si="22"/>
        <v>7</v>
      </c>
      <c r="W32" s="87">
        <f t="shared" si="22"/>
        <v>8</v>
      </c>
      <c r="X32" s="26"/>
      <c r="Y32" s="24"/>
    </row>
    <row r="33" spans="1:25" ht="16.350000000000001" customHeight="1" thickBot="1" x14ac:dyDescent="0.3">
      <c r="A33" s="24"/>
      <c r="B33" s="32"/>
      <c r="C33" s="26"/>
      <c r="D33" s="33"/>
      <c r="E33" s="47">
        <v>0</v>
      </c>
      <c r="F33" s="47">
        <v>0</v>
      </c>
      <c r="G33" s="47">
        <v>0</v>
      </c>
      <c r="H33" s="47">
        <v>0</v>
      </c>
      <c r="I33" s="34"/>
      <c r="J33" s="26"/>
      <c r="K33" s="35"/>
      <c r="L33" s="24"/>
      <c r="N33" s="24"/>
      <c r="O33" s="32"/>
      <c r="P33" s="26"/>
      <c r="Q33" s="33"/>
      <c r="R33" s="87">
        <v>85</v>
      </c>
      <c r="S33" s="87">
        <v>86</v>
      </c>
      <c r="T33" s="87">
        <v>87</v>
      </c>
      <c r="U33" s="87">
        <v>88</v>
      </c>
      <c r="V33" s="34"/>
      <c r="W33" s="26"/>
      <c r="X33" s="35"/>
      <c r="Y33" s="24"/>
    </row>
    <row r="34" spans="1:25" ht="16.350000000000001" customHeight="1" thickBot="1" x14ac:dyDescent="0.3">
      <c r="A34" s="57"/>
      <c r="B34" s="58"/>
      <c r="C34" s="26"/>
      <c r="D34" s="27"/>
      <c r="E34" s="54">
        <f>MAX($A31:$L31)+1</f>
        <v>85</v>
      </c>
      <c r="F34" s="55">
        <f>E34+1</f>
        <v>86</v>
      </c>
      <c r="G34" s="55">
        <f>F34+1</f>
        <v>87</v>
      </c>
      <c r="H34" s="55">
        <f>G34+1</f>
        <v>88</v>
      </c>
      <c r="I34" s="28"/>
      <c r="J34" s="26"/>
      <c r="K34" s="57"/>
      <c r="L34" s="58"/>
      <c r="N34" s="24"/>
      <c r="O34" s="32"/>
      <c r="P34" s="26"/>
      <c r="Q34" s="27"/>
      <c r="R34" s="87">
        <f>MAX($A31:$L31)+1</f>
        <v>85</v>
      </c>
      <c r="S34" s="87">
        <f t="shared" ref="S34:U35" si="23">R34+1</f>
        <v>86</v>
      </c>
      <c r="T34" s="87">
        <f t="shared" si="23"/>
        <v>87</v>
      </c>
      <c r="U34" s="87">
        <f t="shared" si="23"/>
        <v>88</v>
      </c>
      <c r="V34" s="28"/>
      <c r="W34" s="26"/>
      <c r="X34" s="35"/>
      <c r="Y34" s="24"/>
    </row>
    <row r="35" spans="1:25" ht="16.350000000000001" customHeight="1" thickBot="1" x14ac:dyDescent="0.3">
      <c r="A35" s="57"/>
      <c r="B35" s="58"/>
      <c r="C35" s="26"/>
      <c r="D35" s="27"/>
      <c r="E35" s="52">
        <v>0</v>
      </c>
      <c r="F35" s="52">
        <v>0</v>
      </c>
      <c r="G35" s="52">
        <v>0</v>
      </c>
      <c r="H35" s="52">
        <v>0</v>
      </c>
      <c r="I35" s="28"/>
      <c r="J35" s="26"/>
      <c r="K35" s="57"/>
      <c r="L35" s="58"/>
      <c r="N35" s="24"/>
      <c r="O35" s="32"/>
      <c r="P35" s="26"/>
      <c r="Q35" s="27"/>
      <c r="R35" s="87">
        <f>MAX($A32:$L32)+1</f>
        <v>1</v>
      </c>
      <c r="S35" s="87">
        <f t="shared" si="23"/>
        <v>2</v>
      </c>
      <c r="T35" s="87">
        <f t="shared" si="23"/>
        <v>3</v>
      </c>
      <c r="U35" s="87">
        <f t="shared" si="23"/>
        <v>4</v>
      </c>
      <c r="V35" s="28"/>
      <c r="W35" s="26"/>
      <c r="X35" s="35"/>
      <c r="Y35" s="24"/>
    </row>
    <row r="36" spans="1:25" x14ac:dyDescent="0.25">
      <c r="E36" s="95" t="s">
        <v>31</v>
      </c>
      <c r="F36" s="95"/>
      <c r="G36" s="95"/>
      <c r="H36" s="95"/>
      <c r="R36" s="95" t="s">
        <v>31</v>
      </c>
      <c r="S36" s="95"/>
      <c r="T36" s="95"/>
      <c r="U36" s="95"/>
    </row>
    <row r="38" spans="1:25" ht="27" x14ac:dyDescent="0.25">
      <c r="A38" s="4" t="str">
        <f>"Yield (&gt; " &amp; $B$48 &amp; "V):"</f>
        <v>Yield (&gt; 45V):</v>
      </c>
      <c r="B38" s="4"/>
      <c r="C38" s="5" t="s">
        <v>9</v>
      </c>
      <c r="D38" s="6"/>
      <c r="E38" s="7"/>
      <c r="F38" s="8"/>
    </row>
    <row r="39" spans="1:25" ht="15.75" x14ac:dyDescent="0.25">
      <c r="A39" s="9" t="s">
        <v>10</v>
      </c>
      <c r="B39" s="10" t="str">
        <f ca="1">ROUNDUP(H140,2)&amp;"%"</f>
        <v>0%</v>
      </c>
      <c r="C39" s="11">
        <f ca="1">ROUNDUP(STDEVA(F52:F139),1)</f>
        <v>0</v>
      </c>
      <c r="D39" s="6"/>
      <c r="E39" s="12"/>
      <c r="F39" s="6" t="s">
        <v>11</v>
      </c>
    </row>
    <row r="40" spans="1:25" ht="15.75" x14ac:dyDescent="0.25">
      <c r="A40" s="9" t="s">
        <v>12</v>
      </c>
      <c r="B40" s="10" t="str">
        <f ca="1">ROUNDUP(I140,2)&amp;"%"</f>
        <v>0%</v>
      </c>
      <c r="C40" s="11">
        <f ca="1">ROUNDUP(STDEVA(G52:G139),1)</f>
        <v>0</v>
      </c>
      <c r="D40" s="6"/>
      <c r="E40" s="13"/>
      <c r="F40" s="6" t="s">
        <v>13</v>
      </c>
      <c r="T40" s="53" t="str">
        <f>"Bidirectional device &gt;"&amp; $B$48 &amp;"V both sides"</f>
        <v>Bidirectional device &gt;45V both sides</v>
      </c>
      <c r="U40">
        <f ca="1">COUNTIF($N$52:$N$139,"BD")</f>
        <v>0</v>
      </c>
    </row>
    <row r="41" spans="1:25" ht="18.75" x14ac:dyDescent="0.25">
      <c r="A41" s="14" t="s">
        <v>14</v>
      </c>
      <c r="B41" s="15" t="str">
        <f ca="1">ROUNDUP(J140,2)&amp;"%"</f>
        <v>0%</v>
      </c>
      <c r="C41" s="16"/>
      <c r="D41" s="6"/>
      <c r="E41" s="17"/>
      <c r="F41" s="17"/>
      <c r="T41" s="53" t="str">
        <f>"Single Directional Device &gt;"&amp; $B$48/2 &amp;"V one side"</f>
        <v>Single Directional Device &gt;22.5V one side</v>
      </c>
      <c r="U41">
        <f ca="1">COUNTIF($N$52:$N$139,"UD")</f>
        <v>0</v>
      </c>
    </row>
    <row r="44" spans="1:25" ht="18.399999999999999" customHeight="1" x14ac:dyDescent="0.25">
      <c r="A44" s="94" t="s">
        <v>47</v>
      </c>
      <c r="B44" s="94"/>
      <c r="C44" s="18" t="str">
        <f>IFERROR(SUMIFS(K53:K140,K53:K140,"&gt;0",J53:J140,"1")/COUNTIFS(K53:K140,"&gt;0",J53:J140,"1"),"")</f>
        <v/>
      </c>
    </row>
    <row r="45" spans="1:25" ht="18.399999999999999" customHeight="1" x14ac:dyDescent="0.25">
      <c r="A45" s="94" t="s">
        <v>48</v>
      </c>
      <c r="B45" s="94"/>
      <c r="C45" s="18" t="str">
        <f>IFERROR(SUMIFS(L53:L140,L53:L140,"&gt;0",J53:J140,"1")/COUNTIFS(L53:L140,"&gt;0",J53:J140,"1"),"")</f>
        <v/>
      </c>
    </row>
    <row r="48" spans="1:25" x14ac:dyDescent="0.25">
      <c r="A48" s="41" t="s">
        <v>15</v>
      </c>
      <c r="B48" s="42">
        <v>45</v>
      </c>
      <c r="C48" s="43" t="s">
        <v>16</v>
      </c>
      <c r="D48" s="62" t="s">
        <v>32</v>
      </c>
      <c r="E48" s="42">
        <v>90</v>
      </c>
      <c r="F48" s="43" t="s">
        <v>16</v>
      </c>
    </row>
    <row r="51" spans="1:27" x14ac:dyDescent="0.25">
      <c r="A51" s="36" t="s">
        <v>1</v>
      </c>
      <c r="B51" s="36" t="s">
        <v>19</v>
      </c>
      <c r="C51" s="36" t="s">
        <v>25</v>
      </c>
      <c r="D51" s="36" t="s">
        <v>10</v>
      </c>
      <c r="E51" s="36" t="s">
        <v>12</v>
      </c>
      <c r="F51" s="36" t="s">
        <v>26</v>
      </c>
      <c r="G51" s="36" t="s">
        <v>27</v>
      </c>
      <c r="H51" s="37" t="s">
        <v>28</v>
      </c>
      <c r="I51" s="37" t="s">
        <v>29</v>
      </c>
      <c r="J51" s="37" t="s">
        <v>30</v>
      </c>
      <c r="K51" s="36" t="s">
        <v>17</v>
      </c>
      <c r="L51" s="36" t="s">
        <v>18</v>
      </c>
    </row>
    <row r="52" spans="1:27" x14ac:dyDescent="0.25">
      <c r="A52" s="19">
        <f>C2</f>
        <v>0</v>
      </c>
      <c r="B52" s="23">
        <f>E2</f>
        <v>0</v>
      </c>
      <c r="C52">
        <v>1</v>
      </c>
      <c r="D52" s="39">
        <v>6</v>
      </c>
      <c r="F52" cm="1">
        <f t="array" aca="1" ref="F52" ca="1">INDIRECT(ADDRESS(D52,MATCH(C52,INDIRECT("A"&amp;D52+1&amp;":L"&amp;D52+1,TRUE),0),TRUE))</f>
        <v>0</v>
      </c>
      <c r="G52" cm="1">
        <f t="array" aca="1" ref="G52" ca="1">INDIRECT(ADDRESS(D52+2,MATCH(C52,INDIRECT("A"&amp;D52+1&amp;":L"&amp;D52+1,TRUE),0),TRUE))</f>
        <v>0</v>
      </c>
      <c r="H52" s="38">
        <f ca="1">IF(AND(ISNUMBER(F52),F52 &gt;=$B$48,F52&lt;$E$48),1,0)</f>
        <v>0</v>
      </c>
      <c r="I52" s="38">
        <f ca="1">IF(AND(ISNUMBER(G52),G52 &gt;= $B$48,G52&lt;$E$48),1,0)</f>
        <v>0</v>
      </c>
      <c r="J52" s="38">
        <f ca="1">IF(AND(H52 = 1, I52 = 1),1,0)</f>
        <v>0</v>
      </c>
      <c r="N52" s="61" t="str">
        <f ca="1">IF(OR(ISNUMBER(F52),ISNUMBER(G52)),IF(AND(ISNUMBER(F52),ISNUMBER(G52),F52&gt;=$B$48,G52&gt;=$B$48,F52&lt;$E$48,G52&lt;$E$48),"BD",IF(OR(F52&gt;=$B$48/2,G52&gt;=$B$48/2),"UD","")),"")</f>
        <v/>
      </c>
      <c r="AA52" t="str">
        <f ca="1">IF(AND(N52="",COUNTIF($N$52:$N$139,"UD")=0),"",IF(N52="BD","A",IF(N52="UD","B","C")))</f>
        <v/>
      </c>
    </row>
    <row r="53" spans="1:27" x14ac:dyDescent="0.25">
      <c r="C53">
        <v>2</v>
      </c>
      <c r="D53" s="39">
        <v>6</v>
      </c>
      <c r="F53" cm="1">
        <f t="array" aca="1" ref="F53" ca="1">INDIRECT(ADDRESS(D53,MATCH(C53,INDIRECT("A"&amp;D53+1&amp;":L"&amp;D53+1,TRUE),0),TRUE))</f>
        <v>0</v>
      </c>
      <c r="G53" cm="1">
        <f t="array" aca="1" ref="G53" ca="1">INDIRECT(ADDRESS(D53+2,MATCH(C53,INDIRECT("A"&amp;D53+1&amp;":L"&amp;D53+1,TRUE),0),TRUE))</f>
        <v>0</v>
      </c>
      <c r="H53" s="38">
        <f t="shared" ref="H53:H116" ca="1" si="24">IF(AND(ISNUMBER(F53),F53 &gt;=$B$48,F53&lt;$E$48),1,0)</f>
        <v>0</v>
      </c>
      <c r="I53" s="38">
        <f t="shared" ref="I53:I116" ca="1" si="25">IF(AND(ISNUMBER(G53),G53 &gt;= $B$48,G53&lt;$E$48),1,0)</f>
        <v>0</v>
      </c>
      <c r="J53" s="38">
        <f t="shared" ref="J53:J116" ca="1" si="26">IF(AND(H53 = 1, I53 = 1),1,0)</f>
        <v>0</v>
      </c>
      <c r="N53" s="61" t="str">
        <f t="shared" ref="N53:N117" ca="1" si="27">IF(OR(ISNUMBER(F53),ISNUMBER(G53)),IF(AND(ISNUMBER(F53),ISNUMBER(G53),F53&gt;=$B$48,G53&gt;=$B$48,F53&lt;$E$48,G53&lt;$E$48),"BD",IF(OR(F53&gt;=$B$48/2,G53&gt;=$B$48/2),"UD","")),"")</f>
        <v/>
      </c>
      <c r="AA53" t="str">
        <f t="shared" ref="AA53:AA116" ca="1" si="28">IF(AND(N53="",COUNTIF($N$52:$N$139,"UD")=0),"",IF(N53="BD","A",IF(N53="UD","B","C")))</f>
        <v/>
      </c>
    </row>
    <row r="54" spans="1:27" x14ac:dyDescent="0.25">
      <c r="C54">
        <v>3</v>
      </c>
      <c r="D54" s="39">
        <f>IF(D53=D52,D53,D52+3)</f>
        <v>6</v>
      </c>
      <c r="F54" cm="1">
        <f t="array" aca="1" ref="F54" ca="1">INDIRECT(ADDRESS(D54,MATCH(C54,INDIRECT("A"&amp;D54+1&amp;":L"&amp;D54+1,TRUE),0),TRUE))</f>
        <v>0</v>
      </c>
      <c r="G54" cm="1">
        <f t="array" aca="1" ref="G54" ca="1">INDIRECT(ADDRESS(D54+2,MATCH(C54,INDIRECT("A"&amp;D54+1&amp;":L"&amp;D54+1,TRUE),0),TRUE))</f>
        <v>0</v>
      </c>
      <c r="H54" s="38">
        <f t="shared" ca="1" si="24"/>
        <v>0</v>
      </c>
      <c r="I54" s="38">
        <f t="shared" ca="1" si="25"/>
        <v>0</v>
      </c>
      <c r="J54" s="38">
        <f t="shared" ca="1" si="26"/>
        <v>0</v>
      </c>
      <c r="N54" s="61" t="str">
        <f t="shared" ca="1" si="27"/>
        <v/>
      </c>
      <c r="AA54" t="str">
        <f t="shared" ca="1" si="28"/>
        <v/>
      </c>
    </row>
    <row r="55" spans="1:27" x14ac:dyDescent="0.25">
      <c r="A55" t="s">
        <v>20</v>
      </c>
      <c r="B55" s="19">
        <v>75</v>
      </c>
      <c r="C55" s="21">
        <v>4</v>
      </c>
      <c r="D55" s="40">
        <f t="shared" ref="D55:D117" si="29">IF(D54=D53,D54,D53+3)</f>
        <v>6</v>
      </c>
      <c r="E55" s="21"/>
      <c r="F55" cm="1">
        <f t="array" aca="1" ref="F55" ca="1">INDIRECT(ADDRESS(D55,MATCH(C55,INDIRECT("A"&amp;D55+1&amp;":L"&amp;D55+1,TRUE),0),TRUE))</f>
        <v>0</v>
      </c>
      <c r="G55" cm="1">
        <f t="array" aca="1" ref="G55" ca="1">INDIRECT(ADDRESS(D55+2,MATCH(C55,INDIRECT("A"&amp;D55+1&amp;":L"&amp;D55+1,TRUE),0),TRUE))</f>
        <v>0</v>
      </c>
      <c r="H55" s="38">
        <f t="shared" ca="1" si="24"/>
        <v>0</v>
      </c>
      <c r="I55" s="38">
        <f t="shared" ca="1" si="25"/>
        <v>0</v>
      </c>
      <c r="J55" s="38">
        <f t="shared" ca="1" si="26"/>
        <v>0</v>
      </c>
      <c r="N55" s="61" t="str">
        <f t="shared" ca="1" si="27"/>
        <v/>
      </c>
      <c r="AA55" t="str">
        <f t="shared" ca="1" si="28"/>
        <v/>
      </c>
    </row>
    <row r="56" spans="1:27" x14ac:dyDescent="0.25">
      <c r="C56">
        <v>5</v>
      </c>
      <c r="D56" s="39">
        <v>9</v>
      </c>
      <c r="F56" cm="1">
        <f t="array" aca="1" ref="F56" ca="1">INDIRECT(ADDRESS(D56,MATCH(C56,INDIRECT("A"&amp;D56+1&amp;":L"&amp;D56+1,TRUE),0),TRUE))</f>
        <v>0</v>
      </c>
      <c r="G56" cm="1">
        <f t="array" aca="1" ref="G56" ca="1">INDIRECT(ADDRESS(D56+2,MATCH(C56,INDIRECT("A"&amp;D56+1&amp;":L"&amp;D56+1,TRUE),0),TRUE))</f>
        <v>0</v>
      </c>
      <c r="H56" s="38">
        <f t="shared" ca="1" si="24"/>
        <v>0</v>
      </c>
      <c r="I56" s="38">
        <f t="shared" ca="1" si="25"/>
        <v>0</v>
      </c>
      <c r="J56" s="38">
        <f t="shared" ca="1" si="26"/>
        <v>0</v>
      </c>
      <c r="N56" s="61" t="str">
        <f t="shared" ca="1" si="27"/>
        <v/>
      </c>
      <c r="AA56" t="str">
        <f t="shared" ca="1" si="28"/>
        <v/>
      </c>
    </row>
    <row r="57" spans="1:27" x14ac:dyDescent="0.25">
      <c r="C57">
        <v>6</v>
      </c>
      <c r="D57" s="39">
        <f t="shared" si="29"/>
        <v>9</v>
      </c>
      <c r="F57" cm="1">
        <f t="array" aca="1" ref="F57" ca="1">INDIRECT(ADDRESS(D57,MATCH(C57,INDIRECT("A"&amp;D57+1&amp;":L"&amp;D57+1,TRUE),0),TRUE))</f>
        <v>0</v>
      </c>
      <c r="G57" cm="1">
        <f t="array" aca="1" ref="G57" ca="1">INDIRECT(ADDRESS(D57+2,MATCH(C57,INDIRECT("A"&amp;D57+1&amp;":L"&amp;D57+1,TRUE),0),TRUE))</f>
        <v>0</v>
      </c>
      <c r="H57" s="38">
        <f t="shared" ca="1" si="24"/>
        <v>0</v>
      </c>
      <c r="I57" s="38">
        <f t="shared" ca="1" si="25"/>
        <v>0</v>
      </c>
      <c r="J57" s="38">
        <f t="shared" ca="1" si="26"/>
        <v>0</v>
      </c>
      <c r="N57" s="61" t="str">
        <f t="shared" ca="1" si="27"/>
        <v/>
      </c>
      <c r="AA57" t="str">
        <f t="shared" ca="1" si="28"/>
        <v/>
      </c>
    </row>
    <row r="58" spans="1:27" x14ac:dyDescent="0.25">
      <c r="A58" t="s">
        <v>21</v>
      </c>
      <c r="B58" s="20">
        <f ca="1">MIN($F$52:$F$139)</f>
        <v>0</v>
      </c>
      <c r="C58">
        <v>7</v>
      </c>
      <c r="D58" s="39">
        <f t="shared" si="29"/>
        <v>9</v>
      </c>
      <c r="F58" cm="1">
        <f t="array" aca="1" ref="F58" ca="1">INDIRECT(ADDRESS(D58,MATCH(C58,INDIRECT("A"&amp;D58+1&amp;":L"&amp;D58+1,TRUE),0),TRUE))</f>
        <v>0</v>
      </c>
      <c r="G58" cm="1">
        <f t="array" aca="1" ref="G58" ca="1">INDIRECT(ADDRESS(D58+2,MATCH(C58,INDIRECT("A"&amp;D58+1&amp;":L"&amp;D58+1,TRUE),0),TRUE))</f>
        <v>0</v>
      </c>
      <c r="H58" s="38">
        <f t="shared" ca="1" si="24"/>
        <v>0</v>
      </c>
      <c r="I58" s="38">
        <f t="shared" ca="1" si="25"/>
        <v>0</v>
      </c>
      <c r="J58" s="38">
        <f t="shared" ca="1" si="26"/>
        <v>0</v>
      </c>
      <c r="N58" s="61" t="str">
        <f t="shared" ca="1" si="27"/>
        <v/>
      </c>
      <c r="AA58" t="str">
        <f t="shared" ca="1" si="28"/>
        <v/>
      </c>
    </row>
    <row r="59" spans="1:27" x14ac:dyDescent="0.25">
      <c r="A59" s="21" t="s">
        <v>22</v>
      </c>
      <c r="B59" s="22">
        <f ca="1">MAX($F$52:$F$139)</f>
        <v>0</v>
      </c>
      <c r="C59">
        <v>8</v>
      </c>
      <c r="D59" s="39">
        <f t="shared" si="29"/>
        <v>9</v>
      </c>
      <c r="F59" cm="1">
        <f t="array" aca="1" ref="F59" ca="1">INDIRECT(ADDRESS(D59,MATCH(C59,INDIRECT("A"&amp;D59+1&amp;":L"&amp;D59+1,TRUE),0),TRUE))</f>
        <v>0</v>
      </c>
      <c r="G59" cm="1">
        <f t="array" aca="1" ref="G59" ca="1">INDIRECT(ADDRESS(D59+2,MATCH(C59,INDIRECT("A"&amp;D59+1&amp;":L"&amp;D59+1,TRUE),0),TRUE))</f>
        <v>0</v>
      </c>
      <c r="H59" s="38">
        <f t="shared" ca="1" si="24"/>
        <v>0</v>
      </c>
      <c r="I59" s="38">
        <f t="shared" ca="1" si="25"/>
        <v>0</v>
      </c>
      <c r="J59" s="38">
        <f t="shared" ca="1" si="26"/>
        <v>0</v>
      </c>
      <c r="N59" s="61" t="str">
        <f t="shared" ca="1" si="27"/>
        <v/>
      </c>
      <c r="AA59" t="str">
        <f t="shared" ca="1" si="28"/>
        <v/>
      </c>
    </row>
    <row r="60" spans="1:27" x14ac:dyDescent="0.25">
      <c r="A60" t="s">
        <v>23</v>
      </c>
      <c r="B60" s="20">
        <f ca="1">MIN($G$52:$G$139)</f>
        <v>0</v>
      </c>
      <c r="C60">
        <v>9</v>
      </c>
      <c r="D60" s="39">
        <f t="shared" si="29"/>
        <v>9</v>
      </c>
      <c r="F60" cm="1">
        <f t="array" aca="1" ref="F60" ca="1">INDIRECT(ADDRESS(D60,MATCH(C60,INDIRECT("A"&amp;D60+1&amp;":L"&amp;D60+1,TRUE),0),TRUE))</f>
        <v>0</v>
      </c>
      <c r="G60" cm="1">
        <f t="array" aca="1" ref="G60" ca="1">INDIRECT(ADDRESS(D60+2,MATCH(C60,INDIRECT("A"&amp;D60+1&amp;":L"&amp;D60+1,TRUE),0),TRUE))</f>
        <v>0</v>
      </c>
      <c r="H60" s="38">
        <f t="shared" ca="1" si="24"/>
        <v>0</v>
      </c>
      <c r="I60" s="38">
        <f t="shared" ca="1" si="25"/>
        <v>0</v>
      </c>
      <c r="J60" s="38">
        <f t="shared" ca="1" si="26"/>
        <v>0</v>
      </c>
      <c r="N60" s="61" t="str">
        <f t="shared" ca="1" si="27"/>
        <v/>
      </c>
      <c r="AA60" t="str">
        <f t="shared" ca="1" si="28"/>
        <v/>
      </c>
    </row>
    <row r="61" spans="1:27" x14ac:dyDescent="0.25">
      <c r="A61" t="s">
        <v>24</v>
      </c>
      <c r="B61" s="20">
        <f ca="1">MAX($G$52:$G$139)</f>
        <v>0</v>
      </c>
      <c r="C61">
        <v>10</v>
      </c>
      <c r="D61" s="39">
        <f t="shared" si="29"/>
        <v>9</v>
      </c>
      <c r="F61" cm="1">
        <f t="array" aca="1" ref="F61" ca="1">INDIRECT(ADDRESS(D61,MATCH(C61,INDIRECT("A"&amp;D61+1&amp;":L"&amp;D61+1,TRUE),0),TRUE))</f>
        <v>0</v>
      </c>
      <c r="G61" cm="1">
        <f t="array" aca="1" ref="G61" ca="1">INDIRECT(ADDRESS(D61+2,MATCH(C61,INDIRECT("A"&amp;D61+1&amp;":L"&amp;D61+1,TRUE),0),TRUE))</f>
        <v>0</v>
      </c>
      <c r="H61" s="38">
        <f t="shared" ca="1" si="24"/>
        <v>0</v>
      </c>
      <c r="I61" s="38">
        <f t="shared" ca="1" si="25"/>
        <v>0</v>
      </c>
      <c r="J61" s="38">
        <f t="shared" ca="1" si="26"/>
        <v>0</v>
      </c>
      <c r="N61" s="61" t="str">
        <f t="shared" ca="1" si="27"/>
        <v/>
      </c>
      <c r="AA61" t="str">
        <f t="shared" ca="1" si="28"/>
        <v/>
      </c>
    </row>
    <row r="62" spans="1:27" x14ac:dyDescent="0.25">
      <c r="C62">
        <v>11</v>
      </c>
      <c r="D62" s="39">
        <f t="shared" si="29"/>
        <v>9</v>
      </c>
      <c r="F62" cm="1">
        <f t="array" aca="1" ref="F62" ca="1">INDIRECT(ADDRESS(D62,MATCH(C62,INDIRECT("A"&amp;D62+1&amp;":L"&amp;D62+1,TRUE),0),TRUE))</f>
        <v>0</v>
      </c>
      <c r="G62" cm="1">
        <f t="array" aca="1" ref="G62" ca="1">INDIRECT(ADDRESS(D62+2,MATCH(C62,INDIRECT("A"&amp;D62+1&amp;":L"&amp;D62+1,TRUE),0),TRUE))</f>
        <v>0</v>
      </c>
      <c r="H62" s="38">
        <f t="shared" ca="1" si="24"/>
        <v>0</v>
      </c>
      <c r="I62" s="38">
        <f t="shared" ca="1" si="25"/>
        <v>0</v>
      </c>
      <c r="J62" s="38">
        <f t="shared" ca="1" si="26"/>
        <v>0</v>
      </c>
      <c r="N62" s="61" t="str">
        <f t="shared" ca="1" si="27"/>
        <v/>
      </c>
      <c r="AA62" t="str">
        <f t="shared" ca="1" si="28"/>
        <v/>
      </c>
    </row>
    <row r="63" spans="1:27" x14ac:dyDescent="0.25">
      <c r="C63" s="21">
        <v>12</v>
      </c>
      <c r="D63" s="40">
        <f t="shared" si="29"/>
        <v>9</v>
      </c>
      <c r="E63" s="21"/>
      <c r="F63" cm="1">
        <f t="array" aca="1" ref="F63" ca="1">INDIRECT(ADDRESS(D63,MATCH(C63,INDIRECT("A"&amp;D63+1&amp;":L"&amp;D63+1,TRUE),0),TRUE))</f>
        <v>0</v>
      </c>
      <c r="G63" cm="1">
        <f t="array" aca="1" ref="G63" ca="1">INDIRECT(ADDRESS(D63+2,MATCH(C63,INDIRECT("A"&amp;D63+1&amp;":L"&amp;D63+1,TRUE),0),TRUE))</f>
        <v>0</v>
      </c>
      <c r="H63" s="38">
        <f t="shared" ca="1" si="24"/>
        <v>0</v>
      </c>
      <c r="I63" s="38">
        <f t="shared" ca="1" si="25"/>
        <v>0</v>
      </c>
      <c r="J63" s="38">
        <f t="shared" ca="1" si="26"/>
        <v>0</v>
      </c>
      <c r="N63" s="61" t="str">
        <f t="shared" ca="1" si="27"/>
        <v/>
      </c>
      <c r="AA63" t="str">
        <f t="shared" ca="1" si="28"/>
        <v/>
      </c>
    </row>
    <row r="64" spans="1:27" x14ac:dyDescent="0.25">
      <c r="C64">
        <v>13</v>
      </c>
      <c r="D64" s="39">
        <v>12</v>
      </c>
      <c r="F64" cm="1">
        <f t="array" aca="1" ref="F64" ca="1">INDIRECT(ADDRESS(D64,MATCH(C64,INDIRECT("A"&amp;D64+1&amp;":L"&amp;D64+1,TRUE),0),TRUE))</f>
        <v>0</v>
      </c>
      <c r="G64" cm="1">
        <f t="array" aca="1" ref="G64" ca="1">INDIRECT(ADDRESS(D64+2,MATCH(C64,INDIRECT("A"&amp;D64+1&amp;":L"&amp;D64+1,TRUE),0),TRUE))</f>
        <v>0</v>
      </c>
      <c r="H64" s="38">
        <f t="shared" ca="1" si="24"/>
        <v>0</v>
      </c>
      <c r="I64" s="38">
        <f t="shared" ca="1" si="25"/>
        <v>0</v>
      </c>
      <c r="J64" s="38">
        <f t="shared" ca="1" si="26"/>
        <v>0</v>
      </c>
      <c r="N64" s="61" t="str">
        <f t="shared" ca="1" si="27"/>
        <v/>
      </c>
      <c r="AA64" t="str">
        <f t="shared" ca="1" si="28"/>
        <v/>
      </c>
    </row>
    <row r="65" spans="3:27" x14ac:dyDescent="0.25">
      <c r="C65">
        <v>14</v>
      </c>
      <c r="D65" s="39">
        <f t="shared" si="29"/>
        <v>12</v>
      </c>
      <c r="F65" cm="1">
        <f t="array" aca="1" ref="F65" ca="1">INDIRECT(ADDRESS(D65,MATCH(C65,INDIRECT("A"&amp;D65+1&amp;":L"&amp;D65+1,TRUE),0),TRUE))</f>
        <v>0</v>
      </c>
      <c r="G65" cm="1">
        <f t="array" aca="1" ref="G65" ca="1">INDIRECT(ADDRESS(D65+2,MATCH(C65,INDIRECT("A"&amp;D65+1&amp;":L"&amp;D65+1,TRUE),0),TRUE))</f>
        <v>0</v>
      </c>
      <c r="H65" s="38">
        <f t="shared" ca="1" si="24"/>
        <v>0</v>
      </c>
      <c r="I65" s="38">
        <f t="shared" ca="1" si="25"/>
        <v>0</v>
      </c>
      <c r="J65" s="38">
        <f t="shared" ca="1" si="26"/>
        <v>0</v>
      </c>
      <c r="N65" s="61" t="str">
        <f t="shared" ca="1" si="27"/>
        <v/>
      </c>
      <c r="AA65" t="str">
        <f t="shared" ca="1" si="28"/>
        <v/>
      </c>
    </row>
    <row r="66" spans="3:27" x14ac:dyDescent="0.25">
      <c r="C66">
        <v>15</v>
      </c>
      <c r="D66" s="39">
        <f t="shared" si="29"/>
        <v>12</v>
      </c>
      <c r="F66" cm="1">
        <f t="array" aca="1" ref="F66" ca="1">INDIRECT(ADDRESS(D66,MATCH(C66,INDIRECT("A"&amp;D66+1&amp;":L"&amp;D66+1,TRUE),0),TRUE))</f>
        <v>0</v>
      </c>
      <c r="G66" cm="1">
        <f t="array" aca="1" ref="G66" ca="1">INDIRECT(ADDRESS(D66+2,MATCH(C66,INDIRECT("A"&amp;D66+1&amp;":L"&amp;D66+1,TRUE),0),TRUE))</f>
        <v>0</v>
      </c>
      <c r="H66" s="38">
        <f t="shared" ca="1" si="24"/>
        <v>0</v>
      </c>
      <c r="I66" s="38">
        <f t="shared" ca="1" si="25"/>
        <v>0</v>
      </c>
      <c r="J66" s="38">
        <f t="shared" ca="1" si="26"/>
        <v>0</v>
      </c>
      <c r="N66" s="61" t="str">
        <f t="shared" ca="1" si="27"/>
        <v/>
      </c>
      <c r="AA66" t="str">
        <f t="shared" ca="1" si="28"/>
        <v/>
      </c>
    </row>
    <row r="67" spans="3:27" x14ac:dyDescent="0.25">
      <c r="C67">
        <v>16</v>
      </c>
      <c r="D67" s="39">
        <f t="shared" si="29"/>
        <v>12</v>
      </c>
      <c r="F67" cm="1">
        <f t="array" aca="1" ref="F67" ca="1">INDIRECT(ADDRESS(D67,MATCH(C67,INDIRECT("A"&amp;D67+1&amp;":L"&amp;D67+1,TRUE),0),TRUE))</f>
        <v>0</v>
      </c>
      <c r="G67" cm="1">
        <f t="array" aca="1" ref="G67" ca="1">INDIRECT(ADDRESS(D67+2,MATCH(C67,INDIRECT("A"&amp;D67+1&amp;":L"&amp;D67+1,TRUE),0),TRUE))</f>
        <v>0</v>
      </c>
      <c r="H67" s="38">
        <f t="shared" ca="1" si="24"/>
        <v>0</v>
      </c>
      <c r="I67" s="38">
        <f t="shared" ca="1" si="25"/>
        <v>0</v>
      </c>
      <c r="J67" s="38">
        <f t="shared" ca="1" si="26"/>
        <v>0</v>
      </c>
      <c r="N67" s="61" t="str">
        <f t="shared" ca="1" si="27"/>
        <v/>
      </c>
      <c r="AA67" t="str">
        <f t="shared" ca="1" si="28"/>
        <v/>
      </c>
    </row>
    <row r="68" spans="3:27" x14ac:dyDescent="0.25">
      <c r="C68">
        <v>17</v>
      </c>
      <c r="D68" s="39">
        <f t="shared" si="29"/>
        <v>12</v>
      </c>
      <c r="F68" cm="1">
        <f t="array" aca="1" ref="F68" ca="1">INDIRECT(ADDRESS(D68,MATCH(C68,INDIRECT("A"&amp;D68+1&amp;":L"&amp;D68+1,TRUE),0),TRUE))</f>
        <v>0</v>
      </c>
      <c r="G68" cm="1">
        <f t="array" aca="1" ref="G68" ca="1">INDIRECT(ADDRESS(D68+2,MATCH(C68,INDIRECT("A"&amp;D68+1&amp;":L"&amp;D68+1,TRUE),0),TRUE))</f>
        <v>0</v>
      </c>
      <c r="H68" s="38">
        <f t="shared" ca="1" si="24"/>
        <v>0</v>
      </c>
      <c r="I68" s="38">
        <f t="shared" ca="1" si="25"/>
        <v>0</v>
      </c>
      <c r="J68" s="38">
        <f t="shared" ca="1" si="26"/>
        <v>0</v>
      </c>
      <c r="N68" s="61" t="str">
        <f t="shared" ca="1" si="27"/>
        <v/>
      </c>
      <c r="AA68" t="str">
        <f t="shared" ca="1" si="28"/>
        <v/>
      </c>
    </row>
    <row r="69" spans="3:27" x14ac:dyDescent="0.25">
      <c r="C69">
        <v>18</v>
      </c>
      <c r="D69" s="39">
        <f t="shared" si="29"/>
        <v>12</v>
      </c>
      <c r="F69" cm="1">
        <f t="array" aca="1" ref="F69" ca="1">INDIRECT(ADDRESS(D69,MATCH(C69,INDIRECT("A"&amp;D69+1&amp;":L"&amp;D69+1,TRUE),0),TRUE))</f>
        <v>0</v>
      </c>
      <c r="G69" cm="1">
        <f t="array" aca="1" ref="G69" ca="1">INDIRECT(ADDRESS(D69+2,MATCH(C69,INDIRECT("A"&amp;D69+1&amp;":L"&amp;D69+1,TRUE),0),TRUE))</f>
        <v>0</v>
      </c>
      <c r="H69" s="38">
        <f t="shared" ca="1" si="24"/>
        <v>0</v>
      </c>
      <c r="I69" s="38">
        <f t="shared" ca="1" si="25"/>
        <v>0</v>
      </c>
      <c r="J69" s="38">
        <f t="shared" ca="1" si="26"/>
        <v>0</v>
      </c>
      <c r="N69" s="61" t="str">
        <f t="shared" ca="1" si="27"/>
        <v/>
      </c>
      <c r="AA69" t="str">
        <f t="shared" ca="1" si="28"/>
        <v/>
      </c>
    </row>
    <row r="70" spans="3:27" x14ac:dyDescent="0.25">
      <c r="C70">
        <v>19</v>
      </c>
      <c r="D70" s="39">
        <f t="shared" si="29"/>
        <v>12</v>
      </c>
      <c r="F70" cm="1">
        <f t="array" aca="1" ref="F70" ca="1">INDIRECT(ADDRESS(D70,MATCH(C70,INDIRECT("A"&amp;D70+1&amp;":L"&amp;D70+1,TRUE),0),TRUE))</f>
        <v>0</v>
      </c>
      <c r="G70" cm="1">
        <f t="array" aca="1" ref="G70" ca="1">INDIRECT(ADDRESS(D70+2,MATCH(C70,INDIRECT("A"&amp;D70+1&amp;":L"&amp;D70+1,TRUE),0),TRUE))</f>
        <v>0</v>
      </c>
      <c r="H70" s="38">
        <f t="shared" ca="1" si="24"/>
        <v>0</v>
      </c>
      <c r="I70" s="38">
        <f t="shared" ca="1" si="25"/>
        <v>0</v>
      </c>
      <c r="J70" s="38">
        <f t="shared" ca="1" si="26"/>
        <v>0</v>
      </c>
      <c r="N70" s="61" t="str">
        <f t="shared" ca="1" si="27"/>
        <v/>
      </c>
      <c r="AA70" t="str">
        <f t="shared" ca="1" si="28"/>
        <v/>
      </c>
    </row>
    <row r="71" spans="3:27" x14ac:dyDescent="0.25">
      <c r="C71">
        <v>20</v>
      </c>
      <c r="D71" s="39">
        <f t="shared" si="29"/>
        <v>12</v>
      </c>
      <c r="F71" cm="1">
        <f t="array" aca="1" ref="F71" ca="1">INDIRECT(ADDRESS(D71,MATCH(C71,INDIRECT("A"&amp;D71+1&amp;":L"&amp;D71+1,TRUE),0),TRUE))</f>
        <v>0</v>
      </c>
      <c r="G71" cm="1">
        <f t="array" aca="1" ref="G71" ca="1">INDIRECT(ADDRESS(D71+2,MATCH(C71,INDIRECT("A"&amp;D71+1&amp;":L"&amp;D71+1,TRUE),0),TRUE))</f>
        <v>0</v>
      </c>
      <c r="H71" s="38">
        <f t="shared" ca="1" si="24"/>
        <v>0</v>
      </c>
      <c r="I71" s="38">
        <f t="shared" ca="1" si="25"/>
        <v>0</v>
      </c>
      <c r="J71" s="38">
        <f t="shared" ca="1" si="26"/>
        <v>0</v>
      </c>
      <c r="N71" s="61" t="str">
        <f t="shared" ca="1" si="27"/>
        <v/>
      </c>
      <c r="AA71" t="str">
        <f t="shared" ca="1" si="28"/>
        <v/>
      </c>
    </row>
    <row r="72" spans="3:27" x14ac:dyDescent="0.25">
      <c r="C72">
        <v>21</v>
      </c>
      <c r="D72" s="39">
        <f t="shared" si="29"/>
        <v>12</v>
      </c>
      <c r="F72" cm="1">
        <f t="array" aca="1" ref="F72" ca="1">INDIRECT(ADDRESS(D72,MATCH(C72,INDIRECT("A"&amp;D72+1&amp;":L"&amp;D72+1,TRUE),0),TRUE))</f>
        <v>0</v>
      </c>
      <c r="G72" cm="1">
        <f t="array" aca="1" ref="G72" ca="1">INDIRECT(ADDRESS(D72+2,MATCH(C72,INDIRECT("A"&amp;D72+1&amp;":L"&amp;D72+1,TRUE),0),TRUE))</f>
        <v>0</v>
      </c>
      <c r="H72" s="38">
        <f t="shared" ca="1" si="24"/>
        <v>0</v>
      </c>
      <c r="I72" s="38">
        <f t="shared" ca="1" si="25"/>
        <v>0</v>
      </c>
      <c r="J72" s="38">
        <f t="shared" ca="1" si="26"/>
        <v>0</v>
      </c>
      <c r="N72" s="61" t="str">
        <f t="shared" ca="1" si="27"/>
        <v/>
      </c>
      <c r="AA72" t="str">
        <f t="shared" ca="1" si="28"/>
        <v/>
      </c>
    </row>
    <row r="73" spans="3:27" x14ac:dyDescent="0.25">
      <c r="C73" s="21">
        <v>22</v>
      </c>
      <c r="D73" s="40">
        <f t="shared" si="29"/>
        <v>12</v>
      </c>
      <c r="E73" s="21"/>
      <c r="F73" cm="1">
        <f t="array" aca="1" ref="F73" ca="1">INDIRECT(ADDRESS(D73,MATCH(C73,INDIRECT("A"&amp;D73+1&amp;":L"&amp;D73+1,TRUE),0),TRUE))</f>
        <v>0</v>
      </c>
      <c r="G73" cm="1">
        <f t="array" aca="1" ref="G73" ca="1">INDIRECT(ADDRESS(D73+2,MATCH(C73,INDIRECT("A"&amp;D73+1&amp;":L"&amp;D73+1,TRUE),0),TRUE))</f>
        <v>0</v>
      </c>
      <c r="H73" s="38">
        <f t="shared" ca="1" si="24"/>
        <v>0</v>
      </c>
      <c r="I73" s="38">
        <f t="shared" ca="1" si="25"/>
        <v>0</v>
      </c>
      <c r="J73" s="38">
        <f t="shared" ca="1" si="26"/>
        <v>0</v>
      </c>
      <c r="N73" s="61" t="str">
        <f t="shared" ca="1" si="27"/>
        <v/>
      </c>
      <c r="AA73" t="str">
        <f t="shared" ca="1" si="28"/>
        <v/>
      </c>
    </row>
    <row r="74" spans="3:27" x14ac:dyDescent="0.25">
      <c r="C74">
        <v>23</v>
      </c>
      <c r="D74" s="39">
        <v>15</v>
      </c>
      <c r="F74" cm="1">
        <f t="array" aca="1" ref="F74" ca="1">INDIRECT(ADDRESS(D74,MATCH(C74,INDIRECT("A"&amp;D74+1&amp;":L"&amp;D74+1,TRUE),0),TRUE))</f>
        <v>0</v>
      </c>
      <c r="G74" cm="1">
        <f t="array" aca="1" ref="G74" ca="1">INDIRECT(ADDRESS(D74+2,MATCH(C74,INDIRECT("A"&amp;D74+1&amp;":L"&amp;D74+1,TRUE),0),TRUE))</f>
        <v>0</v>
      </c>
      <c r="H74" s="38">
        <f t="shared" ca="1" si="24"/>
        <v>0</v>
      </c>
      <c r="I74" s="38">
        <f t="shared" ca="1" si="25"/>
        <v>0</v>
      </c>
      <c r="J74" s="38">
        <f t="shared" ca="1" si="26"/>
        <v>0</v>
      </c>
      <c r="N74" s="61" t="str">
        <f t="shared" ca="1" si="27"/>
        <v/>
      </c>
      <c r="AA74" t="str">
        <f t="shared" ca="1" si="28"/>
        <v/>
      </c>
    </row>
    <row r="75" spans="3:27" x14ac:dyDescent="0.25">
      <c r="C75">
        <v>24</v>
      </c>
      <c r="D75" s="39">
        <f t="shared" si="29"/>
        <v>15</v>
      </c>
      <c r="F75" cm="1">
        <f t="array" aca="1" ref="F75" ca="1">INDIRECT(ADDRESS(D75,MATCH(C75,INDIRECT("A"&amp;D75+1&amp;":L"&amp;D75+1,TRUE),0),TRUE))</f>
        <v>0</v>
      </c>
      <c r="G75" cm="1">
        <f t="array" aca="1" ref="G75" ca="1">INDIRECT(ADDRESS(D75+2,MATCH(C75,INDIRECT("A"&amp;D75+1&amp;":L"&amp;D75+1,TRUE),0),TRUE))</f>
        <v>0</v>
      </c>
      <c r="H75" s="38">
        <f t="shared" ca="1" si="24"/>
        <v>0</v>
      </c>
      <c r="I75" s="38">
        <f t="shared" ca="1" si="25"/>
        <v>0</v>
      </c>
      <c r="J75" s="38">
        <f t="shared" ca="1" si="26"/>
        <v>0</v>
      </c>
      <c r="N75" s="61" t="str">
        <f t="shared" ca="1" si="27"/>
        <v/>
      </c>
      <c r="AA75" t="str">
        <f t="shared" ca="1" si="28"/>
        <v/>
      </c>
    </row>
    <row r="76" spans="3:27" x14ac:dyDescent="0.25">
      <c r="C76">
        <v>25</v>
      </c>
      <c r="D76" s="39">
        <f t="shared" si="29"/>
        <v>15</v>
      </c>
      <c r="F76" cm="1">
        <f t="array" aca="1" ref="F76" ca="1">INDIRECT(ADDRESS(D76,MATCH(C76,INDIRECT("A"&amp;D76+1&amp;":L"&amp;D76+1,TRUE),0),TRUE))</f>
        <v>0</v>
      </c>
      <c r="G76" cm="1">
        <f t="array" aca="1" ref="G76" ca="1">INDIRECT(ADDRESS(D76+2,MATCH(C76,INDIRECT("A"&amp;D76+1&amp;":L"&amp;D76+1,TRUE),0),TRUE))</f>
        <v>0</v>
      </c>
      <c r="H76" s="38">
        <f t="shared" ca="1" si="24"/>
        <v>0</v>
      </c>
      <c r="I76" s="38">
        <f t="shared" ca="1" si="25"/>
        <v>0</v>
      </c>
      <c r="J76" s="38">
        <f t="shared" ca="1" si="26"/>
        <v>0</v>
      </c>
      <c r="N76" s="61" t="str">
        <f t="shared" ca="1" si="27"/>
        <v/>
      </c>
      <c r="AA76" t="str">
        <f t="shared" ca="1" si="28"/>
        <v/>
      </c>
    </row>
    <row r="77" spans="3:27" x14ac:dyDescent="0.25">
      <c r="C77">
        <v>26</v>
      </c>
      <c r="D77" s="39">
        <f t="shared" si="29"/>
        <v>15</v>
      </c>
      <c r="F77" cm="1">
        <f t="array" aca="1" ref="F77" ca="1">INDIRECT(ADDRESS(D77,MATCH(C77,INDIRECT("A"&amp;D77+1&amp;":L"&amp;D77+1,TRUE),0),TRUE))</f>
        <v>0</v>
      </c>
      <c r="G77" cm="1">
        <f t="array" aca="1" ref="G77" ca="1">INDIRECT(ADDRESS(D77+2,MATCH(C77,INDIRECT("A"&amp;D77+1&amp;":L"&amp;D77+1,TRUE),0),TRUE))</f>
        <v>0</v>
      </c>
      <c r="H77" s="38">
        <f t="shared" ca="1" si="24"/>
        <v>0</v>
      </c>
      <c r="I77" s="38">
        <f t="shared" ca="1" si="25"/>
        <v>0</v>
      </c>
      <c r="J77" s="38">
        <f t="shared" ca="1" si="26"/>
        <v>0</v>
      </c>
      <c r="N77" s="61" t="str">
        <f t="shared" ca="1" si="27"/>
        <v/>
      </c>
      <c r="AA77" t="str">
        <f t="shared" ca="1" si="28"/>
        <v/>
      </c>
    </row>
    <row r="78" spans="3:27" x14ac:dyDescent="0.25">
      <c r="C78">
        <v>27</v>
      </c>
      <c r="D78" s="39">
        <f t="shared" si="29"/>
        <v>15</v>
      </c>
      <c r="F78" cm="1">
        <f t="array" aca="1" ref="F78" ca="1">INDIRECT(ADDRESS(D78,MATCH(C78,INDIRECT("A"&amp;D78+1&amp;":L"&amp;D78+1,TRUE),0),TRUE))</f>
        <v>0</v>
      </c>
      <c r="G78" cm="1">
        <f t="array" aca="1" ref="G78" ca="1">INDIRECT(ADDRESS(D78+2,MATCH(C78,INDIRECT("A"&amp;D78+1&amp;":L"&amp;D78+1,TRUE),0),TRUE))</f>
        <v>0</v>
      </c>
      <c r="H78" s="38">
        <f t="shared" ca="1" si="24"/>
        <v>0</v>
      </c>
      <c r="I78" s="38">
        <f t="shared" ca="1" si="25"/>
        <v>0</v>
      </c>
      <c r="J78" s="38">
        <f t="shared" ca="1" si="26"/>
        <v>0</v>
      </c>
      <c r="N78" s="61" t="str">
        <f t="shared" ca="1" si="27"/>
        <v/>
      </c>
      <c r="AA78" t="str">
        <f t="shared" ca="1" si="28"/>
        <v/>
      </c>
    </row>
    <row r="79" spans="3:27" x14ac:dyDescent="0.25">
      <c r="C79">
        <v>28</v>
      </c>
      <c r="D79" s="39">
        <f t="shared" si="29"/>
        <v>15</v>
      </c>
      <c r="F79" cm="1">
        <f t="array" aca="1" ref="F79" ca="1">INDIRECT(ADDRESS(D79,MATCH(C79,INDIRECT("A"&amp;D79+1&amp;":L"&amp;D79+1,TRUE),0),TRUE))</f>
        <v>0</v>
      </c>
      <c r="G79" cm="1">
        <f t="array" aca="1" ref="G79" ca="1">INDIRECT(ADDRESS(D79+2,MATCH(C79,INDIRECT("A"&amp;D79+1&amp;":L"&amp;D79+1,TRUE),0),TRUE))</f>
        <v>0</v>
      </c>
      <c r="H79" s="38">
        <f t="shared" ca="1" si="24"/>
        <v>0</v>
      </c>
      <c r="I79" s="38">
        <f t="shared" ca="1" si="25"/>
        <v>0</v>
      </c>
      <c r="J79" s="38">
        <f t="shared" ca="1" si="26"/>
        <v>0</v>
      </c>
      <c r="N79" s="61" t="str">
        <f t="shared" ca="1" si="27"/>
        <v/>
      </c>
      <c r="AA79" t="str">
        <f t="shared" ca="1" si="28"/>
        <v/>
      </c>
    </row>
    <row r="80" spans="3:27" x14ac:dyDescent="0.25">
      <c r="C80">
        <v>29</v>
      </c>
      <c r="D80" s="39">
        <f t="shared" si="29"/>
        <v>15</v>
      </c>
      <c r="F80" cm="1">
        <f t="array" aca="1" ref="F80" ca="1">INDIRECT(ADDRESS(D80,MATCH(C80,INDIRECT("A"&amp;D80+1&amp;":L"&amp;D80+1,TRUE),0),TRUE))</f>
        <v>0</v>
      </c>
      <c r="G80" cm="1">
        <f t="array" aca="1" ref="G80" ca="1">INDIRECT(ADDRESS(D80+2,MATCH(C80,INDIRECT("A"&amp;D80+1&amp;":L"&amp;D80+1,TRUE),0),TRUE))</f>
        <v>0</v>
      </c>
      <c r="H80" s="38">
        <f t="shared" ca="1" si="24"/>
        <v>0</v>
      </c>
      <c r="I80" s="38">
        <f t="shared" ca="1" si="25"/>
        <v>0</v>
      </c>
      <c r="J80" s="38">
        <f t="shared" ca="1" si="26"/>
        <v>0</v>
      </c>
      <c r="N80" s="61" t="str">
        <f t="shared" ca="1" si="27"/>
        <v/>
      </c>
      <c r="AA80" t="str">
        <f t="shared" ca="1" si="28"/>
        <v/>
      </c>
    </row>
    <row r="81" spans="3:27" x14ac:dyDescent="0.25">
      <c r="C81">
        <v>30</v>
      </c>
      <c r="D81" s="39">
        <f t="shared" si="29"/>
        <v>15</v>
      </c>
      <c r="F81" cm="1">
        <f t="array" aca="1" ref="F81" ca="1">INDIRECT(ADDRESS(D81,MATCH(C81,INDIRECT("A"&amp;D81+1&amp;":L"&amp;D81+1,TRUE),0),TRUE))</f>
        <v>0</v>
      </c>
      <c r="G81" cm="1">
        <f t="array" aca="1" ref="G81" ca="1">INDIRECT(ADDRESS(D81+2,MATCH(C81,INDIRECT("A"&amp;D81+1&amp;":L"&amp;D81+1,TRUE),0),TRUE))</f>
        <v>0</v>
      </c>
      <c r="H81" s="38">
        <f t="shared" ca="1" si="24"/>
        <v>0</v>
      </c>
      <c r="I81" s="38">
        <f t="shared" ca="1" si="25"/>
        <v>0</v>
      </c>
      <c r="J81" s="38">
        <f t="shared" ca="1" si="26"/>
        <v>0</v>
      </c>
      <c r="N81" s="61" t="str">
        <f t="shared" ca="1" si="27"/>
        <v/>
      </c>
      <c r="AA81" t="str">
        <f t="shared" ca="1" si="28"/>
        <v/>
      </c>
    </row>
    <row r="82" spans="3:27" x14ac:dyDescent="0.25">
      <c r="C82">
        <v>31</v>
      </c>
      <c r="D82" s="39">
        <f t="shared" si="29"/>
        <v>15</v>
      </c>
      <c r="F82" cm="1">
        <f t="array" aca="1" ref="F82" ca="1">INDIRECT(ADDRESS(D82,MATCH(C82,INDIRECT("A"&amp;D82+1&amp;":L"&amp;D82+1,TRUE),0),TRUE))</f>
        <v>0</v>
      </c>
      <c r="G82" cm="1">
        <f t="array" aca="1" ref="G82" ca="1">INDIRECT(ADDRESS(D82+2,MATCH(C82,INDIRECT("A"&amp;D82+1&amp;":L"&amp;D82+1,TRUE),0),TRUE))</f>
        <v>0</v>
      </c>
      <c r="H82" s="38">
        <f t="shared" ca="1" si="24"/>
        <v>0</v>
      </c>
      <c r="I82" s="38">
        <f t="shared" ca="1" si="25"/>
        <v>0</v>
      </c>
      <c r="J82" s="38">
        <f t="shared" ca="1" si="26"/>
        <v>0</v>
      </c>
      <c r="N82" s="61" t="str">
        <f t="shared" ca="1" si="27"/>
        <v/>
      </c>
      <c r="AA82" t="str">
        <f t="shared" ca="1" si="28"/>
        <v/>
      </c>
    </row>
    <row r="83" spans="3:27" x14ac:dyDescent="0.25">
      <c r="C83" s="21">
        <v>32</v>
      </c>
      <c r="D83" s="40">
        <f t="shared" si="29"/>
        <v>15</v>
      </c>
      <c r="E83" s="21"/>
      <c r="F83" cm="1">
        <f t="array" aca="1" ref="F83" ca="1">INDIRECT(ADDRESS(D83,MATCH(C83,INDIRECT("A"&amp;D83+1&amp;":L"&amp;D83+1,TRUE),0),TRUE))</f>
        <v>0</v>
      </c>
      <c r="G83" cm="1">
        <f t="array" aca="1" ref="G83" ca="1">INDIRECT(ADDRESS(D83+2,MATCH(C83,INDIRECT("A"&amp;D83+1&amp;":L"&amp;D83+1,TRUE),0),TRUE))</f>
        <v>0</v>
      </c>
      <c r="H83" s="38">
        <f t="shared" ca="1" si="24"/>
        <v>0</v>
      </c>
      <c r="I83" s="38">
        <f t="shared" ca="1" si="25"/>
        <v>0</v>
      </c>
      <c r="J83" s="38">
        <f t="shared" ca="1" si="26"/>
        <v>0</v>
      </c>
      <c r="N83" s="61" t="str">
        <f t="shared" ca="1" si="27"/>
        <v/>
      </c>
      <c r="AA83" t="str">
        <f t="shared" ca="1" si="28"/>
        <v/>
      </c>
    </row>
    <row r="84" spans="3:27" x14ac:dyDescent="0.25">
      <c r="C84">
        <v>33</v>
      </c>
      <c r="D84" s="39">
        <v>18</v>
      </c>
      <c r="F84" cm="1">
        <f t="array" aca="1" ref="F84" ca="1">INDIRECT(ADDRESS(D84,MATCH(C84,INDIRECT("A"&amp;D84+1&amp;":L"&amp;D84+1,TRUE),0),TRUE))</f>
        <v>0</v>
      </c>
      <c r="G84" cm="1">
        <f t="array" aca="1" ref="G84" ca="1">INDIRECT(ADDRESS(D84+2,MATCH(C84,INDIRECT("A"&amp;D84+1&amp;":L"&amp;D84+1,TRUE),0),TRUE))</f>
        <v>0</v>
      </c>
      <c r="H84" s="38">
        <f t="shared" ca="1" si="24"/>
        <v>0</v>
      </c>
      <c r="I84" s="38">
        <f t="shared" ca="1" si="25"/>
        <v>0</v>
      </c>
      <c r="J84" s="38">
        <f t="shared" ca="1" si="26"/>
        <v>0</v>
      </c>
      <c r="N84" s="61" t="str">
        <f t="shared" ca="1" si="27"/>
        <v/>
      </c>
      <c r="AA84" t="str">
        <f t="shared" ca="1" si="28"/>
        <v/>
      </c>
    </row>
    <row r="85" spans="3:27" x14ac:dyDescent="0.25">
      <c r="C85">
        <v>34</v>
      </c>
      <c r="D85" s="39">
        <f t="shared" si="29"/>
        <v>18</v>
      </c>
      <c r="F85" cm="1">
        <f t="array" aca="1" ref="F85" ca="1">INDIRECT(ADDRESS(D85,MATCH(C85,INDIRECT("A"&amp;D85+1&amp;":L"&amp;D85+1,TRUE),0),TRUE))</f>
        <v>0</v>
      </c>
      <c r="G85" cm="1">
        <f t="array" aca="1" ref="G85" ca="1">INDIRECT(ADDRESS(D85+2,MATCH(C85,INDIRECT("A"&amp;D85+1&amp;":L"&amp;D85+1,TRUE),0),TRUE))</f>
        <v>0</v>
      </c>
      <c r="H85" s="38">
        <f t="shared" ca="1" si="24"/>
        <v>0</v>
      </c>
      <c r="I85" s="38">
        <f t="shared" ca="1" si="25"/>
        <v>0</v>
      </c>
      <c r="J85" s="38">
        <f t="shared" ca="1" si="26"/>
        <v>0</v>
      </c>
      <c r="N85" s="61" t="str">
        <f t="shared" ca="1" si="27"/>
        <v/>
      </c>
      <c r="AA85" t="str">
        <f t="shared" ca="1" si="28"/>
        <v/>
      </c>
    </row>
    <row r="86" spans="3:27" x14ac:dyDescent="0.25">
      <c r="C86">
        <v>35</v>
      </c>
      <c r="D86" s="39">
        <f t="shared" si="29"/>
        <v>18</v>
      </c>
      <c r="F86" cm="1">
        <f t="array" aca="1" ref="F86" ca="1">INDIRECT(ADDRESS(D86,MATCH(C86,INDIRECT("A"&amp;D86+1&amp;":L"&amp;D86+1,TRUE),0),TRUE))</f>
        <v>0</v>
      </c>
      <c r="G86" cm="1">
        <f t="array" aca="1" ref="G86" ca="1">INDIRECT(ADDRESS(D86+2,MATCH(C86,INDIRECT("A"&amp;D86+1&amp;":L"&amp;D86+1,TRUE),0),TRUE))</f>
        <v>0</v>
      </c>
      <c r="H86" s="38">
        <f t="shared" ca="1" si="24"/>
        <v>0</v>
      </c>
      <c r="I86" s="38">
        <f t="shared" ca="1" si="25"/>
        <v>0</v>
      </c>
      <c r="J86" s="38">
        <f t="shared" ca="1" si="26"/>
        <v>0</v>
      </c>
      <c r="N86" s="61" t="str">
        <f t="shared" ca="1" si="27"/>
        <v/>
      </c>
      <c r="AA86" t="str">
        <f t="shared" ca="1" si="28"/>
        <v/>
      </c>
    </row>
    <row r="87" spans="3:27" x14ac:dyDescent="0.25">
      <c r="C87">
        <v>36</v>
      </c>
      <c r="D87" s="39">
        <f t="shared" si="29"/>
        <v>18</v>
      </c>
      <c r="F87" cm="1">
        <f t="array" aca="1" ref="F87" ca="1">INDIRECT(ADDRESS(D87,MATCH(C87,INDIRECT("A"&amp;D87+1&amp;":L"&amp;D87+1,TRUE),0),TRUE))</f>
        <v>0</v>
      </c>
      <c r="G87" cm="1">
        <f t="array" aca="1" ref="G87" ca="1">INDIRECT(ADDRESS(D87+2,MATCH(C87,INDIRECT("A"&amp;D87+1&amp;":L"&amp;D87+1,TRUE),0),TRUE))</f>
        <v>0</v>
      </c>
      <c r="H87" s="38">
        <f t="shared" ca="1" si="24"/>
        <v>0</v>
      </c>
      <c r="I87" s="38">
        <f t="shared" ca="1" si="25"/>
        <v>0</v>
      </c>
      <c r="J87" s="38">
        <f t="shared" ca="1" si="26"/>
        <v>0</v>
      </c>
      <c r="N87" s="61" t="str">
        <f t="shared" ca="1" si="27"/>
        <v/>
      </c>
      <c r="AA87" t="str">
        <f t="shared" ca="1" si="28"/>
        <v/>
      </c>
    </row>
    <row r="88" spans="3:27" x14ac:dyDescent="0.25">
      <c r="C88">
        <v>37</v>
      </c>
      <c r="D88" s="39">
        <f t="shared" si="29"/>
        <v>18</v>
      </c>
      <c r="F88" cm="1">
        <f t="array" aca="1" ref="F88" ca="1">INDIRECT(ADDRESS(D88,MATCH(C88,INDIRECT("A"&amp;D88+1&amp;":L"&amp;D88+1,TRUE),0),TRUE))</f>
        <v>0</v>
      </c>
      <c r="G88" cm="1">
        <f t="array" aca="1" ref="G88" ca="1">INDIRECT(ADDRESS(D88+2,MATCH(C88,INDIRECT("A"&amp;D88+1&amp;":L"&amp;D88+1,TRUE),0),TRUE))</f>
        <v>0</v>
      </c>
      <c r="H88" s="38">
        <f t="shared" ca="1" si="24"/>
        <v>0</v>
      </c>
      <c r="I88" s="38">
        <f t="shared" ca="1" si="25"/>
        <v>0</v>
      </c>
      <c r="J88" s="38">
        <f t="shared" ca="1" si="26"/>
        <v>0</v>
      </c>
      <c r="N88" s="61" t="str">
        <f t="shared" ca="1" si="27"/>
        <v/>
      </c>
      <c r="AA88" t="str">
        <f t="shared" ca="1" si="28"/>
        <v/>
      </c>
    </row>
    <row r="89" spans="3:27" x14ac:dyDescent="0.25">
      <c r="C89">
        <v>38</v>
      </c>
      <c r="D89" s="39">
        <f t="shared" si="29"/>
        <v>18</v>
      </c>
      <c r="F89" cm="1">
        <f t="array" aca="1" ref="F89" ca="1">INDIRECT(ADDRESS(D89,MATCH(C89,INDIRECT("A"&amp;D89+1&amp;":L"&amp;D89+1,TRUE),0),TRUE))</f>
        <v>0</v>
      </c>
      <c r="G89" cm="1">
        <f t="array" aca="1" ref="G89" ca="1">INDIRECT(ADDRESS(D89+2,MATCH(C89,INDIRECT("A"&amp;D89+1&amp;":L"&amp;D89+1,TRUE),0),TRUE))</f>
        <v>0</v>
      </c>
      <c r="H89" s="38">
        <f t="shared" ca="1" si="24"/>
        <v>0</v>
      </c>
      <c r="I89" s="38">
        <f t="shared" ca="1" si="25"/>
        <v>0</v>
      </c>
      <c r="J89" s="38">
        <f t="shared" ca="1" si="26"/>
        <v>0</v>
      </c>
      <c r="N89" s="61" t="str">
        <f t="shared" ca="1" si="27"/>
        <v/>
      </c>
      <c r="AA89" t="str">
        <f t="shared" ca="1" si="28"/>
        <v/>
      </c>
    </row>
    <row r="90" spans="3:27" x14ac:dyDescent="0.25">
      <c r="C90">
        <v>39</v>
      </c>
      <c r="D90" s="39">
        <f t="shared" si="29"/>
        <v>18</v>
      </c>
      <c r="F90" cm="1">
        <f t="array" aca="1" ref="F90" ca="1">INDIRECT(ADDRESS(D90,MATCH(C90,INDIRECT("A"&amp;D90+1&amp;":L"&amp;D90+1,TRUE),0),TRUE))</f>
        <v>0</v>
      </c>
      <c r="G90" cm="1">
        <f t="array" aca="1" ref="G90" ca="1">INDIRECT(ADDRESS(D90+2,MATCH(C90,INDIRECT("A"&amp;D90+1&amp;":L"&amp;D90+1,TRUE),0),TRUE))</f>
        <v>0</v>
      </c>
      <c r="H90" s="38">
        <f t="shared" ca="1" si="24"/>
        <v>0</v>
      </c>
      <c r="I90" s="38">
        <f t="shared" ca="1" si="25"/>
        <v>0</v>
      </c>
      <c r="J90" s="38">
        <f t="shared" ca="1" si="26"/>
        <v>0</v>
      </c>
      <c r="N90" s="61" t="str">
        <f t="shared" ca="1" si="27"/>
        <v/>
      </c>
      <c r="AA90" t="str">
        <f t="shared" ca="1" si="28"/>
        <v/>
      </c>
    </row>
    <row r="91" spans="3:27" x14ac:dyDescent="0.25">
      <c r="C91">
        <v>40</v>
      </c>
      <c r="D91" s="39">
        <f t="shared" si="29"/>
        <v>18</v>
      </c>
      <c r="F91" cm="1">
        <f t="array" aca="1" ref="F91" ca="1">INDIRECT(ADDRESS(D91,MATCH(C91,INDIRECT("A"&amp;D91+1&amp;":L"&amp;D91+1,TRUE),0),TRUE))</f>
        <v>0</v>
      </c>
      <c r="G91" cm="1">
        <f t="array" aca="1" ref="G91" ca="1">INDIRECT(ADDRESS(D91+2,MATCH(C91,INDIRECT("A"&amp;D91+1&amp;":L"&amp;D91+1,TRUE),0),TRUE))</f>
        <v>0</v>
      </c>
      <c r="H91" s="38">
        <f t="shared" ca="1" si="24"/>
        <v>0</v>
      </c>
      <c r="I91" s="38">
        <f t="shared" ca="1" si="25"/>
        <v>0</v>
      </c>
      <c r="J91" s="38">
        <f t="shared" ca="1" si="26"/>
        <v>0</v>
      </c>
      <c r="N91" s="61" t="str">
        <f t="shared" ca="1" si="27"/>
        <v/>
      </c>
      <c r="AA91" t="str">
        <f t="shared" ca="1" si="28"/>
        <v/>
      </c>
    </row>
    <row r="92" spans="3:27" x14ac:dyDescent="0.25">
      <c r="C92">
        <v>41</v>
      </c>
      <c r="D92" s="39">
        <f t="shared" si="29"/>
        <v>18</v>
      </c>
      <c r="F92" cm="1">
        <f t="array" aca="1" ref="F92" ca="1">INDIRECT(ADDRESS(D92,MATCH(C92,INDIRECT("A"&amp;D92+1&amp;":L"&amp;D92+1,TRUE),0),TRUE))</f>
        <v>0</v>
      </c>
      <c r="G92" cm="1">
        <f t="array" aca="1" ref="G92" ca="1">INDIRECT(ADDRESS(D92+2,MATCH(C92,INDIRECT("A"&amp;D92+1&amp;":L"&amp;D92+1,TRUE),0),TRUE))</f>
        <v>0</v>
      </c>
      <c r="H92" s="38">
        <f t="shared" ca="1" si="24"/>
        <v>0</v>
      </c>
      <c r="I92" s="38">
        <f t="shared" ca="1" si="25"/>
        <v>0</v>
      </c>
      <c r="J92" s="38">
        <f t="shared" ca="1" si="26"/>
        <v>0</v>
      </c>
      <c r="N92" s="61" t="str">
        <f t="shared" ca="1" si="27"/>
        <v/>
      </c>
      <c r="AA92" t="str">
        <f t="shared" ca="1" si="28"/>
        <v/>
      </c>
    </row>
    <row r="93" spans="3:27" x14ac:dyDescent="0.25">
      <c r="C93">
        <v>42</v>
      </c>
      <c r="D93" s="39">
        <f t="shared" si="29"/>
        <v>18</v>
      </c>
      <c r="F93" cm="1">
        <f t="array" aca="1" ref="F93" ca="1">INDIRECT(ADDRESS(D93,MATCH(C93,INDIRECT("A"&amp;D93+1&amp;":L"&amp;D93+1,TRUE),0),TRUE))</f>
        <v>0</v>
      </c>
      <c r="G93" cm="1">
        <f t="array" aca="1" ref="G93" ca="1">INDIRECT(ADDRESS(D93+2,MATCH(C93,INDIRECT("A"&amp;D93+1&amp;":L"&amp;D93+1,TRUE),0),TRUE))</f>
        <v>0</v>
      </c>
      <c r="H93" s="38">
        <f t="shared" ca="1" si="24"/>
        <v>0</v>
      </c>
      <c r="I93" s="38">
        <f t="shared" ca="1" si="25"/>
        <v>0</v>
      </c>
      <c r="J93" s="38">
        <f t="shared" ca="1" si="26"/>
        <v>0</v>
      </c>
      <c r="N93" s="61" t="str">
        <f t="shared" ca="1" si="27"/>
        <v/>
      </c>
      <c r="AA93" t="str">
        <f t="shared" ca="1" si="28"/>
        <v/>
      </c>
    </row>
    <row r="94" spans="3:27" x14ac:dyDescent="0.25">
      <c r="C94">
        <v>43</v>
      </c>
      <c r="D94" s="39">
        <f t="shared" si="29"/>
        <v>18</v>
      </c>
      <c r="F94" cm="1">
        <f t="array" aca="1" ref="F94" ca="1">INDIRECT(ADDRESS(D94,MATCH(C94,INDIRECT("A"&amp;D94+1&amp;":L"&amp;D94+1,TRUE),0),TRUE))</f>
        <v>0</v>
      </c>
      <c r="G94" cm="1">
        <f t="array" aca="1" ref="G94" ca="1">INDIRECT(ADDRESS(D94+2,MATCH(C94,INDIRECT("A"&amp;D94+1&amp;":L"&amp;D94+1,TRUE),0),TRUE))</f>
        <v>0</v>
      </c>
      <c r="H94" s="38">
        <f t="shared" ca="1" si="24"/>
        <v>0</v>
      </c>
      <c r="I94" s="38">
        <f t="shared" ca="1" si="25"/>
        <v>0</v>
      </c>
      <c r="J94" s="38">
        <f t="shared" ca="1" si="26"/>
        <v>0</v>
      </c>
      <c r="N94" s="61" t="str">
        <f t="shared" ca="1" si="27"/>
        <v/>
      </c>
      <c r="AA94" t="str">
        <f t="shared" ca="1" si="28"/>
        <v/>
      </c>
    </row>
    <row r="95" spans="3:27" x14ac:dyDescent="0.25">
      <c r="C95" s="21">
        <v>44</v>
      </c>
      <c r="D95" s="40">
        <f t="shared" si="29"/>
        <v>18</v>
      </c>
      <c r="E95" s="21"/>
      <c r="F95" cm="1">
        <f t="array" aca="1" ref="F95" ca="1">INDIRECT(ADDRESS(D95,MATCH(C95,INDIRECT("A"&amp;D95+1&amp;":L"&amp;D95+1,TRUE),0),TRUE))</f>
        <v>0</v>
      </c>
      <c r="G95" cm="1">
        <f t="array" aca="1" ref="G95" ca="1">INDIRECT(ADDRESS(D95+2,MATCH(C95,INDIRECT("A"&amp;D95+1&amp;":L"&amp;D95+1,TRUE),0),TRUE))</f>
        <v>0</v>
      </c>
      <c r="H95" s="38">
        <f t="shared" ca="1" si="24"/>
        <v>0</v>
      </c>
      <c r="I95" s="38">
        <f t="shared" ca="1" si="25"/>
        <v>0</v>
      </c>
      <c r="J95" s="38">
        <f t="shared" ca="1" si="26"/>
        <v>0</v>
      </c>
      <c r="N95" s="61" t="str">
        <f t="shared" ca="1" si="27"/>
        <v/>
      </c>
      <c r="AA95" t="str">
        <f t="shared" ca="1" si="28"/>
        <v/>
      </c>
    </row>
    <row r="96" spans="3:27" x14ac:dyDescent="0.25">
      <c r="C96">
        <v>45</v>
      </c>
      <c r="D96" s="39">
        <v>21</v>
      </c>
      <c r="F96" cm="1">
        <f t="array" aca="1" ref="F96" ca="1">INDIRECT(ADDRESS(D96,MATCH(C96,INDIRECT("A"&amp;D96+1&amp;":L"&amp;D96+1,TRUE),0),TRUE))</f>
        <v>0</v>
      </c>
      <c r="G96" cm="1">
        <f t="array" aca="1" ref="G96" ca="1">INDIRECT(ADDRESS(D96+2,MATCH(C96,INDIRECT("A"&amp;D96+1&amp;":L"&amp;D96+1,TRUE),0),TRUE))</f>
        <v>0</v>
      </c>
      <c r="H96" s="38">
        <f t="shared" ca="1" si="24"/>
        <v>0</v>
      </c>
      <c r="I96" s="38">
        <f t="shared" ca="1" si="25"/>
        <v>0</v>
      </c>
      <c r="J96" s="38">
        <f t="shared" ca="1" si="26"/>
        <v>0</v>
      </c>
      <c r="N96" s="61" t="str">
        <f t="shared" ca="1" si="27"/>
        <v/>
      </c>
      <c r="AA96" t="str">
        <f t="shared" ca="1" si="28"/>
        <v/>
      </c>
    </row>
    <row r="97" spans="3:27" x14ac:dyDescent="0.25">
      <c r="C97">
        <v>46</v>
      </c>
      <c r="D97" s="39">
        <f t="shared" si="29"/>
        <v>21</v>
      </c>
      <c r="F97" cm="1">
        <f t="array" aca="1" ref="F97" ca="1">INDIRECT(ADDRESS(D97,MATCH(C97,INDIRECT("A"&amp;D97+1&amp;":L"&amp;D97+1,TRUE),0),TRUE))</f>
        <v>0</v>
      </c>
      <c r="G97" cm="1">
        <f t="array" aca="1" ref="G97" ca="1">INDIRECT(ADDRESS(D97+2,MATCH(C97,INDIRECT("A"&amp;D97+1&amp;":L"&amp;D97+1,TRUE),0),TRUE))</f>
        <v>0</v>
      </c>
      <c r="H97" s="38">
        <f t="shared" ca="1" si="24"/>
        <v>0</v>
      </c>
      <c r="I97" s="38">
        <f t="shared" ca="1" si="25"/>
        <v>0</v>
      </c>
      <c r="J97" s="38">
        <f t="shared" ca="1" si="26"/>
        <v>0</v>
      </c>
      <c r="N97" s="61" t="str">
        <f t="shared" ca="1" si="27"/>
        <v/>
      </c>
      <c r="AA97" t="str">
        <f t="shared" ca="1" si="28"/>
        <v/>
      </c>
    </row>
    <row r="98" spans="3:27" x14ac:dyDescent="0.25">
      <c r="C98">
        <v>47</v>
      </c>
      <c r="D98" s="39">
        <f t="shared" si="29"/>
        <v>21</v>
      </c>
      <c r="F98" cm="1">
        <f t="array" aca="1" ref="F98" ca="1">INDIRECT(ADDRESS(D98,MATCH(C98,INDIRECT("A"&amp;D98+1&amp;":L"&amp;D98+1,TRUE),0),TRUE))</f>
        <v>0</v>
      </c>
      <c r="G98" cm="1">
        <f t="array" aca="1" ref="G98" ca="1">INDIRECT(ADDRESS(D98+2,MATCH(C98,INDIRECT("A"&amp;D98+1&amp;":L"&amp;D98+1,TRUE),0),TRUE))</f>
        <v>0</v>
      </c>
      <c r="H98" s="38">
        <f t="shared" ca="1" si="24"/>
        <v>0</v>
      </c>
      <c r="I98" s="38">
        <f t="shared" ca="1" si="25"/>
        <v>0</v>
      </c>
      <c r="J98" s="38">
        <f t="shared" ca="1" si="26"/>
        <v>0</v>
      </c>
      <c r="N98" s="61" t="str">
        <f t="shared" ca="1" si="27"/>
        <v/>
      </c>
      <c r="AA98" t="str">
        <f t="shared" ca="1" si="28"/>
        <v/>
      </c>
    </row>
    <row r="99" spans="3:27" x14ac:dyDescent="0.25">
      <c r="C99">
        <v>48</v>
      </c>
      <c r="D99" s="39">
        <f t="shared" si="29"/>
        <v>21</v>
      </c>
      <c r="F99" cm="1">
        <f t="array" aca="1" ref="F99" ca="1">INDIRECT(ADDRESS(D99,MATCH(C99,INDIRECT("A"&amp;D99+1&amp;":L"&amp;D99+1,TRUE),0),TRUE))</f>
        <v>0</v>
      </c>
      <c r="G99" cm="1">
        <f t="array" aca="1" ref="G99" ca="1">INDIRECT(ADDRESS(D99+2,MATCH(C99,INDIRECT("A"&amp;D99+1&amp;":L"&amp;D99+1,TRUE),0),TRUE))</f>
        <v>0</v>
      </c>
      <c r="H99" s="38">
        <f t="shared" ca="1" si="24"/>
        <v>0</v>
      </c>
      <c r="I99" s="38">
        <f t="shared" ca="1" si="25"/>
        <v>0</v>
      </c>
      <c r="J99" s="38">
        <f t="shared" ca="1" si="26"/>
        <v>0</v>
      </c>
      <c r="N99" s="61" t="str">
        <f t="shared" ca="1" si="27"/>
        <v/>
      </c>
      <c r="AA99" t="str">
        <f t="shared" ca="1" si="28"/>
        <v/>
      </c>
    </row>
    <row r="100" spans="3:27" x14ac:dyDescent="0.25">
      <c r="C100">
        <v>49</v>
      </c>
      <c r="D100" s="39">
        <f t="shared" si="29"/>
        <v>21</v>
      </c>
      <c r="F100" cm="1">
        <f t="array" aca="1" ref="F100" ca="1">INDIRECT(ADDRESS(D100,MATCH(C100,INDIRECT("A"&amp;D100+1&amp;":L"&amp;D100+1,TRUE),0),TRUE))</f>
        <v>0</v>
      </c>
      <c r="G100" cm="1">
        <f t="array" aca="1" ref="G100" ca="1">INDIRECT(ADDRESS(D100+2,MATCH(C100,INDIRECT("A"&amp;D100+1&amp;":L"&amp;D100+1,TRUE),0),TRUE))</f>
        <v>0</v>
      </c>
      <c r="H100" s="38">
        <f t="shared" ca="1" si="24"/>
        <v>0</v>
      </c>
      <c r="I100" s="38">
        <f t="shared" ca="1" si="25"/>
        <v>0</v>
      </c>
      <c r="J100" s="38">
        <f t="shared" ca="1" si="26"/>
        <v>0</v>
      </c>
      <c r="N100" s="61" t="str">
        <f t="shared" ca="1" si="27"/>
        <v/>
      </c>
      <c r="AA100" t="str">
        <f t="shared" ca="1" si="28"/>
        <v/>
      </c>
    </row>
    <row r="101" spans="3:27" x14ac:dyDescent="0.25">
      <c r="C101">
        <v>50</v>
      </c>
      <c r="D101" s="39">
        <f t="shared" si="29"/>
        <v>21</v>
      </c>
      <c r="F101" cm="1">
        <f t="array" aca="1" ref="F101" ca="1">INDIRECT(ADDRESS(D101,MATCH(C101,INDIRECT("A"&amp;D101+1&amp;":L"&amp;D101+1,TRUE),0),TRUE))</f>
        <v>0</v>
      </c>
      <c r="G101" cm="1">
        <f t="array" aca="1" ref="G101" ca="1">INDIRECT(ADDRESS(D101+2,MATCH(C101,INDIRECT("A"&amp;D101+1&amp;":L"&amp;D101+1,TRUE),0),TRUE))</f>
        <v>0</v>
      </c>
      <c r="H101" s="38">
        <f t="shared" ca="1" si="24"/>
        <v>0</v>
      </c>
      <c r="I101" s="38">
        <f t="shared" ca="1" si="25"/>
        <v>0</v>
      </c>
      <c r="J101" s="38">
        <f t="shared" ca="1" si="26"/>
        <v>0</v>
      </c>
      <c r="N101" s="61" t="str">
        <f t="shared" ca="1" si="27"/>
        <v/>
      </c>
      <c r="AA101" t="str">
        <f t="shared" ca="1" si="28"/>
        <v/>
      </c>
    </row>
    <row r="102" spans="3:27" x14ac:dyDescent="0.25">
      <c r="C102">
        <v>51</v>
      </c>
      <c r="D102" s="39">
        <f t="shared" si="29"/>
        <v>21</v>
      </c>
      <c r="F102" cm="1">
        <f t="array" aca="1" ref="F102" ca="1">INDIRECT(ADDRESS(D102,MATCH(C102,INDIRECT("A"&amp;D102+1&amp;":L"&amp;D102+1,TRUE),0),TRUE))</f>
        <v>0</v>
      </c>
      <c r="G102" cm="1">
        <f t="array" aca="1" ref="G102" ca="1">INDIRECT(ADDRESS(D102+2,MATCH(C102,INDIRECT("A"&amp;D102+1&amp;":L"&amp;D102+1,TRUE),0),TRUE))</f>
        <v>0</v>
      </c>
      <c r="H102" s="38">
        <f t="shared" ca="1" si="24"/>
        <v>0</v>
      </c>
      <c r="I102" s="38">
        <f t="shared" ca="1" si="25"/>
        <v>0</v>
      </c>
      <c r="J102" s="38">
        <f t="shared" ca="1" si="26"/>
        <v>0</v>
      </c>
      <c r="N102" s="61" t="str">
        <f t="shared" ca="1" si="27"/>
        <v/>
      </c>
      <c r="AA102" t="str">
        <f t="shared" ca="1" si="28"/>
        <v/>
      </c>
    </row>
    <row r="103" spans="3:27" x14ac:dyDescent="0.25">
      <c r="C103">
        <v>52</v>
      </c>
      <c r="D103" s="39">
        <f t="shared" si="29"/>
        <v>21</v>
      </c>
      <c r="F103" cm="1">
        <f t="array" aca="1" ref="F103" ca="1">INDIRECT(ADDRESS(D103,MATCH(C103,INDIRECT("A"&amp;D103+1&amp;":L"&amp;D103+1,TRUE),0),TRUE))</f>
        <v>0</v>
      </c>
      <c r="G103" cm="1">
        <f t="array" aca="1" ref="G103" ca="1">INDIRECT(ADDRESS(D103+2,MATCH(C103,INDIRECT("A"&amp;D103+1&amp;":L"&amp;D103+1,TRUE),0),TRUE))</f>
        <v>0</v>
      </c>
      <c r="H103" s="38">
        <f t="shared" ca="1" si="24"/>
        <v>0</v>
      </c>
      <c r="I103" s="38">
        <f t="shared" ca="1" si="25"/>
        <v>0</v>
      </c>
      <c r="J103" s="38">
        <f t="shared" ca="1" si="26"/>
        <v>0</v>
      </c>
      <c r="N103" s="61" t="str">
        <f t="shared" ca="1" si="27"/>
        <v/>
      </c>
      <c r="AA103" t="str">
        <f t="shared" ca="1" si="28"/>
        <v/>
      </c>
    </row>
    <row r="104" spans="3:27" x14ac:dyDescent="0.25">
      <c r="C104">
        <v>53</v>
      </c>
      <c r="D104" s="39">
        <f t="shared" si="29"/>
        <v>21</v>
      </c>
      <c r="F104" cm="1">
        <f t="array" aca="1" ref="F104" ca="1">INDIRECT(ADDRESS(D104,MATCH(C104,INDIRECT("A"&amp;D104+1&amp;":L"&amp;D104+1,TRUE),0),TRUE))</f>
        <v>0</v>
      </c>
      <c r="G104" cm="1">
        <f t="array" aca="1" ref="G104" ca="1">INDIRECT(ADDRESS(D104+2,MATCH(C104,INDIRECT("A"&amp;D104+1&amp;":L"&amp;D104+1,TRUE),0),TRUE))</f>
        <v>0</v>
      </c>
      <c r="H104" s="38">
        <f t="shared" ca="1" si="24"/>
        <v>0</v>
      </c>
      <c r="I104" s="38">
        <f t="shared" ca="1" si="25"/>
        <v>0</v>
      </c>
      <c r="J104" s="38">
        <f t="shared" ca="1" si="26"/>
        <v>0</v>
      </c>
      <c r="N104" s="61" t="str">
        <f t="shared" ca="1" si="27"/>
        <v/>
      </c>
      <c r="AA104" t="str">
        <f t="shared" ca="1" si="28"/>
        <v/>
      </c>
    </row>
    <row r="105" spans="3:27" x14ac:dyDescent="0.25">
      <c r="C105">
        <v>54</v>
      </c>
      <c r="D105" s="39">
        <f t="shared" si="29"/>
        <v>21</v>
      </c>
      <c r="F105" cm="1">
        <f t="array" aca="1" ref="F105" ca="1">INDIRECT(ADDRESS(D105,MATCH(C105,INDIRECT("A"&amp;D105+1&amp;":L"&amp;D105+1,TRUE),0),TRUE))</f>
        <v>0</v>
      </c>
      <c r="G105" cm="1">
        <f t="array" aca="1" ref="G105" ca="1">INDIRECT(ADDRESS(D105+2,MATCH(C105,INDIRECT("A"&amp;D105+1&amp;":L"&amp;D105+1,TRUE),0),TRUE))</f>
        <v>0</v>
      </c>
      <c r="H105" s="38">
        <f t="shared" ca="1" si="24"/>
        <v>0</v>
      </c>
      <c r="I105" s="38">
        <f t="shared" ca="1" si="25"/>
        <v>0</v>
      </c>
      <c r="J105" s="38">
        <f t="shared" ca="1" si="26"/>
        <v>0</v>
      </c>
      <c r="N105" s="61" t="str">
        <f t="shared" ca="1" si="27"/>
        <v/>
      </c>
      <c r="AA105" t="str">
        <f t="shared" ca="1" si="28"/>
        <v/>
      </c>
    </row>
    <row r="106" spans="3:27" x14ac:dyDescent="0.25">
      <c r="C106">
        <v>55</v>
      </c>
      <c r="D106" s="39">
        <f t="shared" si="29"/>
        <v>21</v>
      </c>
      <c r="F106" cm="1">
        <f t="array" aca="1" ref="F106" ca="1">INDIRECT(ADDRESS(D106,MATCH(C106,INDIRECT("A"&amp;D106+1&amp;":L"&amp;D106+1,TRUE),0),TRUE))</f>
        <v>0</v>
      </c>
      <c r="G106" cm="1">
        <f t="array" aca="1" ref="G106" ca="1">INDIRECT(ADDRESS(D106+2,MATCH(C106,INDIRECT("A"&amp;D106+1&amp;":L"&amp;D106+1,TRUE),0),TRUE))</f>
        <v>0</v>
      </c>
      <c r="H106" s="38">
        <f t="shared" ca="1" si="24"/>
        <v>0</v>
      </c>
      <c r="I106" s="38">
        <f t="shared" ca="1" si="25"/>
        <v>0</v>
      </c>
      <c r="J106" s="38">
        <f t="shared" ca="1" si="26"/>
        <v>0</v>
      </c>
      <c r="N106" s="61" t="str">
        <f t="shared" ca="1" si="27"/>
        <v/>
      </c>
      <c r="AA106" t="str">
        <f t="shared" ca="1" si="28"/>
        <v/>
      </c>
    </row>
    <row r="107" spans="3:27" x14ac:dyDescent="0.25">
      <c r="C107" s="21">
        <v>56</v>
      </c>
      <c r="D107" s="40">
        <f t="shared" si="29"/>
        <v>21</v>
      </c>
      <c r="E107" s="21"/>
      <c r="F107" cm="1">
        <f t="array" aca="1" ref="F107" ca="1">INDIRECT(ADDRESS(D107,MATCH(C107,INDIRECT("A"&amp;D107+1&amp;":L"&amp;D107+1,TRUE),0),TRUE))</f>
        <v>0</v>
      </c>
      <c r="G107" cm="1">
        <f t="array" aca="1" ref="G107" ca="1">INDIRECT(ADDRESS(D107+2,MATCH(C107,INDIRECT("A"&amp;D107+1&amp;":L"&amp;D107+1,TRUE),0),TRUE))</f>
        <v>0</v>
      </c>
      <c r="H107" s="38">
        <f t="shared" ca="1" si="24"/>
        <v>0</v>
      </c>
      <c r="I107" s="38">
        <f t="shared" ca="1" si="25"/>
        <v>0</v>
      </c>
      <c r="J107" s="38">
        <f t="shared" ca="1" si="26"/>
        <v>0</v>
      </c>
      <c r="N107" s="61" t="str">
        <f t="shared" ca="1" si="27"/>
        <v/>
      </c>
      <c r="AA107" t="str">
        <f t="shared" ca="1" si="28"/>
        <v/>
      </c>
    </row>
    <row r="108" spans="3:27" x14ac:dyDescent="0.25">
      <c r="C108">
        <v>57</v>
      </c>
      <c r="D108" s="39">
        <v>24</v>
      </c>
      <c r="F108" cm="1">
        <f t="array" aca="1" ref="F108" ca="1">INDIRECT(ADDRESS(D108,MATCH(C108,INDIRECT("A"&amp;D108+1&amp;":L"&amp;D108+1,TRUE),0),TRUE))</f>
        <v>0</v>
      </c>
      <c r="G108" cm="1">
        <f t="array" aca="1" ref="G108" ca="1">INDIRECT(ADDRESS(D108+2,MATCH(C108,INDIRECT("A"&amp;D108+1&amp;":L"&amp;D108+1,TRUE),0),TRUE))</f>
        <v>0</v>
      </c>
      <c r="H108" s="38">
        <f t="shared" ca="1" si="24"/>
        <v>0</v>
      </c>
      <c r="I108" s="38">
        <f t="shared" ca="1" si="25"/>
        <v>0</v>
      </c>
      <c r="J108" s="38">
        <f t="shared" ca="1" si="26"/>
        <v>0</v>
      </c>
      <c r="N108" s="61" t="str">
        <f t="shared" ca="1" si="27"/>
        <v/>
      </c>
      <c r="AA108" t="str">
        <f t="shared" ca="1" si="28"/>
        <v/>
      </c>
    </row>
    <row r="109" spans="3:27" x14ac:dyDescent="0.25">
      <c r="C109">
        <v>58</v>
      </c>
      <c r="D109" s="39">
        <f t="shared" si="29"/>
        <v>24</v>
      </c>
      <c r="F109" cm="1">
        <f t="array" aca="1" ref="F109" ca="1">INDIRECT(ADDRESS(D109,MATCH(C109,INDIRECT("A"&amp;D109+1&amp;":L"&amp;D109+1,TRUE),0),TRUE))</f>
        <v>0</v>
      </c>
      <c r="G109" cm="1">
        <f t="array" aca="1" ref="G109" ca="1">INDIRECT(ADDRESS(D109+2,MATCH(C109,INDIRECT("A"&amp;D109+1&amp;":L"&amp;D109+1,TRUE),0),TRUE))</f>
        <v>0</v>
      </c>
      <c r="H109" s="38">
        <f t="shared" ca="1" si="24"/>
        <v>0</v>
      </c>
      <c r="I109" s="38">
        <f t="shared" ca="1" si="25"/>
        <v>0</v>
      </c>
      <c r="J109" s="38">
        <f t="shared" ca="1" si="26"/>
        <v>0</v>
      </c>
      <c r="N109" s="61" t="str">
        <f t="shared" ca="1" si="27"/>
        <v/>
      </c>
      <c r="AA109" t="str">
        <f t="shared" ca="1" si="28"/>
        <v/>
      </c>
    </row>
    <row r="110" spans="3:27" x14ac:dyDescent="0.25">
      <c r="C110">
        <v>59</v>
      </c>
      <c r="D110" s="39">
        <f t="shared" si="29"/>
        <v>24</v>
      </c>
      <c r="F110" cm="1">
        <f t="array" aca="1" ref="F110" ca="1">INDIRECT(ADDRESS(D110,MATCH(C110,INDIRECT("A"&amp;D110+1&amp;":L"&amp;D110+1,TRUE),0),TRUE))</f>
        <v>0</v>
      </c>
      <c r="G110" cm="1">
        <f t="array" aca="1" ref="G110" ca="1">INDIRECT(ADDRESS(D110+2,MATCH(C110,INDIRECT("A"&amp;D110+1&amp;":L"&amp;D110+1,TRUE),0),TRUE))</f>
        <v>0</v>
      </c>
      <c r="H110" s="38">
        <f t="shared" ca="1" si="24"/>
        <v>0</v>
      </c>
      <c r="I110" s="38">
        <f t="shared" ca="1" si="25"/>
        <v>0</v>
      </c>
      <c r="J110" s="38">
        <f t="shared" ca="1" si="26"/>
        <v>0</v>
      </c>
      <c r="N110" s="61" t="str">
        <f t="shared" ca="1" si="27"/>
        <v/>
      </c>
      <c r="AA110" t="str">
        <f t="shared" ca="1" si="28"/>
        <v/>
      </c>
    </row>
    <row r="111" spans="3:27" x14ac:dyDescent="0.25">
      <c r="C111">
        <v>60</v>
      </c>
      <c r="D111" s="39">
        <f t="shared" si="29"/>
        <v>24</v>
      </c>
      <c r="F111" cm="1">
        <f t="array" aca="1" ref="F111" ca="1">INDIRECT(ADDRESS(D111,MATCH(C111,INDIRECT("A"&amp;D111+1&amp;":L"&amp;D111+1,TRUE),0),TRUE))</f>
        <v>0</v>
      </c>
      <c r="G111" cm="1">
        <f t="array" aca="1" ref="G111" ca="1">INDIRECT(ADDRESS(D111+2,MATCH(C111,INDIRECT("A"&amp;D111+1&amp;":L"&amp;D111+1,TRUE),0),TRUE))</f>
        <v>0</v>
      </c>
      <c r="H111" s="38">
        <f t="shared" ca="1" si="24"/>
        <v>0</v>
      </c>
      <c r="I111" s="38">
        <f t="shared" ca="1" si="25"/>
        <v>0</v>
      </c>
      <c r="J111" s="38">
        <f t="shared" ca="1" si="26"/>
        <v>0</v>
      </c>
      <c r="N111" s="61" t="str">
        <f t="shared" ca="1" si="27"/>
        <v/>
      </c>
      <c r="AA111" t="str">
        <f t="shared" ca="1" si="28"/>
        <v/>
      </c>
    </row>
    <row r="112" spans="3:27" x14ac:dyDescent="0.25">
      <c r="C112">
        <v>61</v>
      </c>
      <c r="D112" s="39">
        <f t="shared" si="29"/>
        <v>24</v>
      </c>
      <c r="F112" cm="1">
        <f t="array" aca="1" ref="F112" ca="1">INDIRECT(ADDRESS(D112,MATCH(C112,INDIRECT("A"&amp;D112+1&amp;":L"&amp;D112+1,TRUE),0),TRUE))</f>
        <v>0</v>
      </c>
      <c r="G112" cm="1">
        <f t="array" aca="1" ref="G112" ca="1">INDIRECT(ADDRESS(D112+2,MATCH(C112,INDIRECT("A"&amp;D112+1&amp;":L"&amp;D112+1,TRUE),0),TRUE))</f>
        <v>0</v>
      </c>
      <c r="H112" s="38">
        <f t="shared" ca="1" si="24"/>
        <v>0</v>
      </c>
      <c r="I112" s="38">
        <f t="shared" ca="1" si="25"/>
        <v>0</v>
      </c>
      <c r="J112" s="38">
        <f t="shared" ca="1" si="26"/>
        <v>0</v>
      </c>
      <c r="N112" s="61" t="str">
        <f t="shared" ca="1" si="27"/>
        <v/>
      </c>
      <c r="AA112" t="str">
        <f t="shared" ca="1" si="28"/>
        <v/>
      </c>
    </row>
    <row r="113" spans="3:27" x14ac:dyDescent="0.25">
      <c r="C113">
        <v>62</v>
      </c>
      <c r="D113" s="39">
        <f t="shared" si="29"/>
        <v>24</v>
      </c>
      <c r="F113" cm="1">
        <f t="array" aca="1" ref="F113" ca="1">INDIRECT(ADDRESS(D113,MATCH(C113,INDIRECT("A"&amp;D113+1&amp;":L"&amp;D113+1,TRUE),0),TRUE))</f>
        <v>0</v>
      </c>
      <c r="G113" cm="1">
        <f t="array" aca="1" ref="G113" ca="1">INDIRECT(ADDRESS(D113+2,MATCH(C113,INDIRECT("A"&amp;D113+1&amp;":L"&amp;D113+1,TRUE),0),TRUE))</f>
        <v>0</v>
      </c>
      <c r="H113" s="38">
        <f t="shared" ca="1" si="24"/>
        <v>0</v>
      </c>
      <c r="I113" s="38">
        <f t="shared" ca="1" si="25"/>
        <v>0</v>
      </c>
      <c r="J113" s="38">
        <f t="shared" ca="1" si="26"/>
        <v>0</v>
      </c>
      <c r="N113" s="61" t="str">
        <f t="shared" ca="1" si="27"/>
        <v/>
      </c>
      <c r="AA113" t="str">
        <f t="shared" ca="1" si="28"/>
        <v/>
      </c>
    </row>
    <row r="114" spans="3:27" x14ac:dyDescent="0.25">
      <c r="C114">
        <v>63</v>
      </c>
      <c r="D114" s="39">
        <f t="shared" si="29"/>
        <v>24</v>
      </c>
      <c r="F114" cm="1">
        <f t="array" aca="1" ref="F114" ca="1">INDIRECT(ADDRESS(D114,MATCH(C114,INDIRECT("A"&amp;D114+1&amp;":L"&amp;D114+1,TRUE),0),TRUE))</f>
        <v>0</v>
      </c>
      <c r="G114" cm="1">
        <f t="array" aca="1" ref="G114" ca="1">INDIRECT(ADDRESS(D114+2,MATCH(C114,INDIRECT("A"&amp;D114+1&amp;":L"&amp;D114+1,TRUE),0),TRUE))</f>
        <v>0</v>
      </c>
      <c r="H114" s="38">
        <f t="shared" ca="1" si="24"/>
        <v>0</v>
      </c>
      <c r="I114" s="38">
        <f t="shared" ca="1" si="25"/>
        <v>0</v>
      </c>
      <c r="J114" s="38">
        <f t="shared" ca="1" si="26"/>
        <v>0</v>
      </c>
      <c r="N114" s="61" t="str">
        <f t="shared" ca="1" si="27"/>
        <v/>
      </c>
      <c r="AA114" t="str">
        <f t="shared" ca="1" si="28"/>
        <v/>
      </c>
    </row>
    <row r="115" spans="3:27" x14ac:dyDescent="0.25">
      <c r="C115">
        <v>64</v>
      </c>
      <c r="D115" s="39">
        <f t="shared" si="29"/>
        <v>24</v>
      </c>
      <c r="F115" cm="1">
        <f t="array" aca="1" ref="F115" ca="1">INDIRECT(ADDRESS(D115,MATCH(C115,INDIRECT("A"&amp;D115+1&amp;":L"&amp;D115+1,TRUE),0),TRUE))</f>
        <v>0</v>
      </c>
      <c r="G115" cm="1">
        <f t="array" aca="1" ref="G115" ca="1">INDIRECT(ADDRESS(D115+2,MATCH(C115,INDIRECT("A"&amp;D115+1&amp;":L"&amp;D115+1,TRUE),0),TRUE))</f>
        <v>0</v>
      </c>
      <c r="H115" s="38">
        <f t="shared" ca="1" si="24"/>
        <v>0</v>
      </c>
      <c r="I115" s="38">
        <f t="shared" ca="1" si="25"/>
        <v>0</v>
      </c>
      <c r="J115" s="38">
        <f t="shared" ca="1" si="26"/>
        <v>0</v>
      </c>
      <c r="N115" s="61" t="str">
        <f t="shared" ca="1" si="27"/>
        <v/>
      </c>
      <c r="AA115" t="str">
        <f t="shared" ca="1" si="28"/>
        <v/>
      </c>
    </row>
    <row r="116" spans="3:27" x14ac:dyDescent="0.25">
      <c r="C116">
        <v>65</v>
      </c>
      <c r="D116" s="39">
        <f t="shared" si="29"/>
        <v>24</v>
      </c>
      <c r="F116" cm="1">
        <f t="array" aca="1" ref="F116" ca="1">INDIRECT(ADDRESS(D116,MATCH(C116,INDIRECT("A"&amp;D116+1&amp;":L"&amp;D116+1,TRUE),0),TRUE))</f>
        <v>0</v>
      </c>
      <c r="G116" cm="1">
        <f t="array" aca="1" ref="G116" ca="1">INDIRECT(ADDRESS(D116+2,MATCH(C116,INDIRECT("A"&amp;D116+1&amp;":L"&amp;D116+1,TRUE),0),TRUE))</f>
        <v>0</v>
      </c>
      <c r="H116" s="38">
        <f t="shared" ca="1" si="24"/>
        <v>0</v>
      </c>
      <c r="I116" s="38">
        <f t="shared" ca="1" si="25"/>
        <v>0</v>
      </c>
      <c r="J116" s="38">
        <f t="shared" ca="1" si="26"/>
        <v>0</v>
      </c>
      <c r="N116" s="61" t="str">
        <f ca="1">IF(OR(ISNUMBER(F116),ISNUMBER(G116)),IF(AND(ISNUMBER(F116),ISNUMBER(G116),F116&gt;=$B$48,G116&gt;=$B$48,F116&lt;$E$48,G116&lt;$E$48),"BD",IF(OR(F116&gt;=$B$48/2,G116&gt;=$B$48/2),"UD","")),"")</f>
        <v/>
      </c>
      <c r="AA116" t="str">
        <f t="shared" ca="1" si="28"/>
        <v/>
      </c>
    </row>
    <row r="117" spans="3:27" x14ac:dyDescent="0.25">
      <c r="C117" s="21">
        <v>66</v>
      </c>
      <c r="D117" s="40">
        <f t="shared" si="29"/>
        <v>24</v>
      </c>
      <c r="E117" s="21"/>
      <c r="F117" cm="1">
        <f t="array" aca="1" ref="F117" ca="1">INDIRECT(ADDRESS(D117,MATCH(C117,INDIRECT("A"&amp;D117+1&amp;":L"&amp;D117+1,TRUE),0),TRUE))</f>
        <v>0</v>
      </c>
      <c r="G117" cm="1">
        <f t="array" aca="1" ref="G117" ca="1">INDIRECT(ADDRESS(D117+2,MATCH(C117,INDIRECT("A"&amp;D117+1&amp;":L"&amp;D117+1,TRUE),0),TRUE))</f>
        <v>0</v>
      </c>
      <c r="H117" s="38">
        <f t="shared" ref="H117:H139" ca="1" si="30">IF(AND(ISNUMBER(F117),F117 &gt;=$B$48,F117&lt;$E$48),1,0)</f>
        <v>0</v>
      </c>
      <c r="I117" s="38">
        <f t="shared" ref="I117:I139" ca="1" si="31">IF(AND(ISNUMBER(G117),G117 &gt;= $B$48,G117&lt;$E$48),1,0)</f>
        <v>0</v>
      </c>
      <c r="J117" s="38">
        <f t="shared" ref="J117:J139" ca="1" si="32">IF(AND(H117 = 1, I117 = 1),1,0)</f>
        <v>0</v>
      </c>
      <c r="N117" s="61" t="str">
        <f t="shared" ca="1" si="27"/>
        <v/>
      </c>
      <c r="AA117" t="str">
        <f t="shared" ref="AA117:AA139" ca="1" si="33">IF(AND(N117="",COUNTIF($N$52:$N$139,"UD")=0),"",IF(N117="BD","A",IF(N117="UD","B","C")))</f>
        <v/>
      </c>
    </row>
    <row r="118" spans="3:27" x14ac:dyDescent="0.25">
      <c r="C118">
        <v>67</v>
      </c>
      <c r="D118" s="39">
        <v>27</v>
      </c>
      <c r="F118" cm="1">
        <f t="array" aca="1" ref="F118" ca="1">INDIRECT(ADDRESS(D118,MATCH(C118,INDIRECT("A"&amp;D118+1&amp;":L"&amp;D118+1,TRUE),0),TRUE))</f>
        <v>0</v>
      </c>
      <c r="G118" cm="1">
        <f t="array" aca="1" ref="G118" ca="1">INDIRECT(ADDRESS(D118+2,MATCH(C118,INDIRECT("A"&amp;D118+1&amp;":L"&amp;D118+1,TRUE),0),TRUE))</f>
        <v>0</v>
      </c>
      <c r="H118" s="38">
        <f t="shared" ca="1" si="30"/>
        <v>0</v>
      </c>
      <c r="I118" s="38">
        <f t="shared" ca="1" si="31"/>
        <v>0</v>
      </c>
      <c r="J118" s="38">
        <f t="shared" ca="1" si="32"/>
        <v>0</v>
      </c>
      <c r="N118" s="61" t="str">
        <f t="shared" ref="N118:N139" ca="1" si="34">IF(OR(ISNUMBER(F118),ISNUMBER(G118)),IF(AND(ISNUMBER(F118),ISNUMBER(G118),F118&gt;=$B$48,G118&gt;=$B$48,F118&lt;$E$48,G118&lt;$E$48),"BD",IF(OR(F118&gt;=$B$48/2,G118&gt;=$B$48/2),"UD","")),"")</f>
        <v/>
      </c>
      <c r="AA118" t="str">
        <f t="shared" ca="1" si="33"/>
        <v/>
      </c>
    </row>
    <row r="119" spans="3:27" x14ac:dyDescent="0.25">
      <c r="C119">
        <v>68</v>
      </c>
      <c r="D119" s="39">
        <f t="shared" ref="D119:D137" si="35">IF(D118=D117,D118,D117+3)</f>
        <v>27</v>
      </c>
      <c r="F119" cm="1">
        <f t="array" aca="1" ref="F119" ca="1">INDIRECT(ADDRESS(D119,MATCH(C119,INDIRECT("A"&amp;D119+1&amp;":L"&amp;D119+1,TRUE),0),TRUE))</f>
        <v>0</v>
      </c>
      <c r="G119" cm="1">
        <f t="array" aca="1" ref="G119" ca="1">INDIRECT(ADDRESS(D119+2,MATCH(C119,INDIRECT("A"&amp;D119+1&amp;":L"&amp;D119+1,TRUE),0),TRUE))</f>
        <v>0</v>
      </c>
      <c r="H119" s="38">
        <f t="shared" ca="1" si="30"/>
        <v>0</v>
      </c>
      <c r="I119" s="38">
        <f t="shared" ca="1" si="31"/>
        <v>0</v>
      </c>
      <c r="J119" s="38">
        <f t="shared" ca="1" si="32"/>
        <v>0</v>
      </c>
      <c r="N119" s="61" t="str">
        <f t="shared" ca="1" si="34"/>
        <v/>
      </c>
      <c r="AA119" t="str">
        <f t="shared" ca="1" si="33"/>
        <v/>
      </c>
    </row>
    <row r="120" spans="3:27" x14ac:dyDescent="0.25">
      <c r="C120">
        <v>69</v>
      </c>
      <c r="D120" s="39">
        <f t="shared" si="35"/>
        <v>27</v>
      </c>
      <c r="F120" cm="1">
        <f t="array" aca="1" ref="F120" ca="1">INDIRECT(ADDRESS(D120,MATCH(C120,INDIRECT("A"&amp;D120+1&amp;":L"&amp;D120+1,TRUE),0),TRUE))</f>
        <v>0</v>
      </c>
      <c r="G120" cm="1">
        <f t="array" aca="1" ref="G120" ca="1">INDIRECT(ADDRESS(D120+2,MATCH(C120,INDIRECT("A"&amp;D120+1&amp;":L"&amp;D120+1,TRUE),0),TRUE))</f>
        <v>0</v>
      </c>
      <c r="H120" s="38">
        <f t="shared" ca="1" si="30"/>
        <v>0</v>
      </c>
      <c r="I120" s="38">
        <f t="shared" ca="1" si="31"/>
        <v>0</v>
      </c>
      <c r="J120" s="38">
        <f t="shared" ca="1" si="32"/>
        <v>0</v>
      </c>
      <c r="N120" s="61" t="str">
        <f t="shared" ca="1" si="34"/>
        <v/>
      </c>
      <c r="AA120" t="str">
        <f t="shared" ca="1" si="33"/>
        <v/>
      </c>
    </row>
    <row r="121" spans="3:27" x14ac:dyDescent="0.25">
      <c r="C121">
        <v>70</v>
      </c>
      <c r="D121" s="39">
        <f t="shared" si="35"/>
        <v>27</v>
      </c>
      <c r="F121" cm="1">
        <f t="array" aca="1" ref="F121" ca="1">INDIRECT(ADDRESS(D121,MATCH(C121,INDIRECT("A"&amp;D121+1&amp;":L"&amp;D121+1,TRUE),0),TRUE))</f>
        <v>0</v>
      </c>
      <c r="G121" cm="1">
        <f t="array" aca="1" ref="G121" ca="1">INDIRECT(ADDRESS(D121+2,MATCH(C121,INDIRECT("A"&amp;D121+1&amp;":L"&amp;D121+1,TRUE),0),TRUE))</f>
        <v>0</v>
      </c>
      <c r="H121" s="38">
        <f t="shared" ca="1" si="30"/>
        <v>0</v>
      </c>
      <c r="I121" s="38">
        <f t="shared" ca="1" si="31"/>
        <v>0</v>
      </c>
      <c r="J121" s="38">
        <f t="shared" ca="1" si="32"/>
        <v>0</v>
      </c>
      <c r="N121" s="61" t="str">
        <f t="shared" ca="1" si="34"/>
        <v/>
      </c>
      <c r="AA121" t="str">
        <f t="shared" ca="1" si="33"/>
        <v/>
      </c>
    </row>
    <row r="122" spans="3:27" x14ac:dyDescent="0.25">
      <c r="C122">
        <v>71</v>
      </c>
      <c r="D122" s="39">
        <f t="shared" si="35"/>
        <v>27</v>
      </c>
      <c r="F122" cm="1">
        <f t="array" aca="1" ref="F122" ca="1">INDIRECT(ADDRESS(D122,MATCH(C122,INDIRECT("A"&amp;D122+1&amp;":L"&amp;D122+1,TRUE),0),TRUE))</f>
        <v>0</v>
      </c>
      <c r="G122" cm="1">
        <f t="array" aca="1" ref="G122" ca="1">INDIRECT(ADDRESS(D122+2,MATCH(C122,INDIRECT("A"&amp;D122+1&amp;":L"&amp;D122+1,TRUE),0),TRUE))</f>
        <v>0</v>
      </c>
      <c r="H122" s="38">
        <f t="shared" ca="1" si="30"/>
        <v>0</v>
      </c>
      <c r="I122" s="38">
        <f t="shared" ca="1" si="31"/>
        <v>0</v>
      </c>
      <c r="J122" s="38">
        <f t="shared" ca="1" si="32"/>
        <v>0</v>
      </c>
      <c r="N122" s="61" t="str">
        <f t="shared" ca="1" si="34"/>
        <v/>
      </c>
      <c r="AA122" t="str">
        <f t="shared" ca="1" si="33"/>
        <v/>
      </c>
    </row>
    <row r="123" spans="3:27" x14ac:dyDescent="0.25">
      <c r="C123">
        <v>72</v>
      </c>
      <c r="D123" s="39">
        <f t="shared" si="35"/>
        <v>27</v>
      </c>
      <c r="F123" cm="1">
        <f t="array" aca="1" ref="F123" ca="1">INDIRECT(ADDRESS(D123,MATCH(C123,INDIRECT("A"&amp;D123+1&amp;":L"&amp;D123+1,TRUE),0),TRUE))</f>
        <v>0</v>
      </c>
      <c r="G123" cm="1">
        <f t="array" aca="1" ref="G123" ca="1">INDIRECT(ADDRESS(D123+2,MATCH(C123,INDIRECT("A"&amp;D123+1&amp;":L"&amp;D123+1,TRUE),0),TRUE))</f>
        <v>0</v>
      </c>
      <c r="H123" s="38">
        <f t="shared" ca="1" si="30"/>
        <v>0</v>
      </c>
      <c r="I123" s="38">
        <f t="shared" ca="1" si="31"/>
        <v>0</v>
      </c>
      <c r="J123" s="38">
        <f t="shared" ca="1" si="32"/>
        <v>0</v>
      </c>
      <c r="N123" s="61" t="str">
        <f t="shared" ca="1" si="34"/>
        <v/>
      </c>
      <c r="AA123" t="str">
        <f t="shared" ca="1" si="33"/>
        <v/>
      </c>
    </row>
    <row r="124" spans="3:27" x14ac:dyDescent="0.25">
      <c r="C124">
        <v>73</v>
      </c>
      <c r="D124" s="39">
        <f t="shared" si="35"/>
        <v>27</v>
      </c>
      <c r="F124" cm="1">
        <f t="array" aca="1" ref="F124" ca="1">INDIRECT(ADDRESS(D124,MATCH(C124,INDIRECT("A"&amp;D124+1&amp;":L"&amp;D124+1,TRUE),0),TRUE))</f>
        <v>0</v>
      </c>
      <c r="G124" cm="1">
        <f t="array" aca="1" ref="G124" ca="1">INDIRECT(ADDRESS(D124+2,MATCH(C124,INDIRECT("A"&amp;D124+1&amp;":L"&amp;D124+1,TRUE),0),TRUE))</f>
        <v>0</v>
      </c>
      <c r="H124" s="38">
        <f t="shared" ca="1" si="30"/>
        <v>0</v>
      </c>
      <c r="I124" s="38">
        <f t="shared" ca="1" si="31"/>
        <v>0</v>
      </c>
      <c r="J124" s="38">
        <f t="shared" ca="1" si="32"/>
        <v>0</v>
      </c>
      <c r="N124" s="61" t="str">
        <f t="shared" ca="1" si="34"/>
        <v/>
      </c>
      <c r="AA124" t="str">
        <f t="shared" ca="1" si="33"/>
        <v/>
      </c>
    </row>
    <row r="125" spans="3:27" x14ac:dyDescent="0.25">
      <c r="C125">
        <v>74</v>
      </c>
      <c r="D125" s="39">
        <f t="shared" si="35"/>
        <v>27</v>
      </c>
      <c r="F125" cm="1">
        <f t="array" aca="1" ref="F125" ca="1">INDIRECT(ADDRESS(D125,MATCH(C125,INDIRECT("A"&amp;D125+1&amp;":L"&amp;D125+1,TRUE),0),TRUE))</f>
        <v>0</v>
      </c>
      <c r="G125" cm="1">
        <f t="array" aca="1" ref="G125" ca="1">INDIRECT(ADDRESS(D125+2,MATCH(C125,INDIRECT("A"&amp;D125+1&amp;":L"&amp;D125+1,TRUE),0),TRUE))</f>
        <v>0</v>
      </c>
      <c r="H125" s="38">
        <f t="shared" ca="1" si="30"/>
        <v>0</v>
      </c>
      <c r="I125" s="38">
        <f t="shared" ca="1" si="31"/>
        <v>0</v>
      </c>
      <c r="J125" s="38">
        <f t="shared" ca="1" si="32"/>
        <v>0</v>
      </c>
      <c r="N125" s="61" t="str">
        <f t="shared" ca="1" si="34"/>
        <v/>
      </c>
      <c r="AA125" t="str">
        <f t="shared" ca="1" si="33"/>
        <v/>
      </c>
    </row>
    <row r="126" spans="3:27" x14ac:dyDescent="0.25">
      <c r="C126">
        <v>75</v>
      </c>
      <c r="D126" s="39">
        <f t="shared" si="35"/>
        <v>27</v>
      </c>
      <c r="F126" cm="1">
        <f t="array" aca="1" ref="F126" ca="1">INDIRECT(ADDRESS(D126,MATCH(C126,INDIRECT("A"&amp;D126+1&amp;":L"&amp;D126+1,TRUE),0),TRUE))</f>
        <v>0</v>
      </c>
      <c r="G126" cm="1">
        <f t="array" aca="1" ref="G126" ca="1">INDIRECT(ADDRESS(D126+2,MATCH(C126,INDIRECT("A"&amp;D126+1&amp;":L"&amp;D126+1,TRUE),0),TRUE))</f>
        <v>0</v>
      </c>
      <c r="H126" s="38">
        <f t="shared" ca="1" si="30"/>
        <v>0</v>
      </c>
      <c r="I126" s="38">
        <f t="shared" ca="1" si="31"/>
        <v>0</v>
      </c>
      <c r="J126" s="38">
        <f t="shared" ca="1" si="32"/>
        <v>0</v>
      </c>
      <c r="N126" s="61" t="str">
        <f t="shared" ca="1" si="34"/>
        <v/>
      </c>
      <c r="AA126" t="str">
        <f t="shared" ca="1" si="33"/>
        <v/>
      </c>
    </row>
    <row r="127" spans="3:27" x14ac:dyDescent="0.25">
      <c r="C127" s="21">
        <v>76</v>
      </c>
      <c r="D127" s="40">
        <f t="shared" si="35"/>
        <v>27</v>
      </c>
      <c r="E127" s="21"/>
      <c r="F127" cm="1">
        <f t="array" aca="1" ref="F127" ca="1">INDIRECT(ADDRESS(D127,MATCH(C127,INDIRECT("A"&amp;D127+1&amp;":L"&amp;D127+1,TRUE),0),TRUE))</f>
        <v>0</v>
      </c>
      <c r="G127" cm="1">
        <f t="array" aca="1" ref="G127" ca="1">INDIRECT(ADDRESS(D127+2,MATCH(C127,INDIRECT("A"&amp;D127+1&amp;":L"&amp;D127+1,TRUE),0),TRUE))</f>
        <v>0</v>
      </c>
      <c r="H127" s="38">
        <f t="shared" ca="1" si="30"/>
        <v>0</v>
      </c>
      <c r="I127" s="38">
        <f t="shared" ca="1" si="31"/>
        <v>0</v>
      </c>
      <c r="J127" s="38">
        <f t="shared" ca="1" si="32"/>
        <v>0</v>
      </c>
      <c r="N127" s="61" t="str">
        <f t="shared" ca="1" si="34"/>
        <v/>
      </c>
      <c r="AA127" t="str">
        <f t="shared" ca="1" si="33"/>
        <v/>
      </c>
    </row>
    <row r="128" spans="3:27" x14ac:dyDescent="0.25">
      <c r="C128">
        <v>77</v>
      </c>
      <c r="D128" s="39">
        <v>30</v>
      </c>
      <c r="F128" cm="1">
        <f t="array" aca="1" ref="F128" ca="1">INDIRECT(ADDRESS(D128,MATCH(C128,INDIRECT("A"&amp;D128+1&amp;":L"&amp;D128+1,TRUE),0),TRUE))</f>
        <v>0</v>
      </c>
      <c r="G128" cm="1">
        <f t="array" aca="1" ref="G128" ca="1">INDIRECT(ADDRESS(D128+2,MATCH(C128,INDIRECT("A"&amp;D128+1&amp;":L"&amp;D128+1,TRUE),0),TRUE))</f>
        <v>0</v>
      </c>
      <c r="H128" s="38">
        <f t="shared" ca="1" si="30"/>
        <v>0</v>
      </c>
      <c r="I128" s="38">
        <f t="shared" ca="1" si="31"/>
        <v>0</v>
      </c>
      <c r="J128" s="38">
        <f t="shared" ca="1" si="32"/>
        <v>0</v>
      </c>
      <c r="N128" s="61" t="str">
        <f t="shared" ca="1" si="34"/>
        <v/>
      </c>
      <c r="AA128" t="str">
        <f t="shared" ca="1" si="33"/>
        <v/>
      </c>
    </row>
    <row r="129" spans="3:27" x14ac:dyDescent="0.25">
      <c r="C129">
        <v>78</v>
      </c>
      <c r="D129" s="39">
        <f t="shared" si="35"/>
        <v>30</v>
      </c>
      <c r="F129" cm="1">
        <f t="array" aca="1" ref="F129" ca="1">INDIRECT(ADDRESS(D129,MATCH(C129,INDIRECT("A"&amp;D129+1&amp;":L"&amp;D129+1,TRUE),0),TRUE))</f>
        <v>0</v>
      </c>
      <c r="G129" cm="1">
        <f t="array" aca="1" ref="G129" ca="1">INDIRECT(ADDRESS(D129+2,MATCH(C129,INDIRECT("A"&amp;D129+1&amp;":L"&amp;D129+1,TRUE),0),TRUE))</f>
        <v>0</v>
      </c>
      <c r="H129" s="38">
        <f t="shared" ca="1" si="30"/>
        <v>0</v>
      </c>
      <c r="I129" s="38">
        <f t="shared" ca="1" si="31"/>
        <v>0</v>
      </c>
      <c r="J129" s="38">
        <f t="shared" ca="1" si="32"/>
        <v>0</v>
      </c>
      <c r="N129" s="61" t="str">
        <f t="shared" ca="1" si="34"/>
        <v/>
      </c>
      <c r="AA129" t="str">
        <f t="shared" ca="1" si="33"/>
        <v/>
      </c>
    </row>
    <row r="130" spans="3:27" x14ac:dyDescent="0.25">
      <c r="C130">
        <v>79</v>
      </c>
      <c r="D130" s="39">
        <f t="shared" si="35"/>
        <v>30</v>
      </c>
      <c r="F130" cm="1">
        <f t="array" aca="1" ref="F130" ca="1">INDIRECT(ADDRESS(D130,MATCH(C130,INDIRECT("A"&amp;D130+1&amp;":L"&amp;D130+1,TRUE),0),TRUE))</f>
        <v>0</v>
      </c>
      <c r="G130" cm="1">
        <f t="array" aca="1" ref="G130" ca="1">INDIRECT(ADDRESS(D130+2,MATCH(C130,INDIRECT("A"&amp;D130+1&amp;":L"&amp;D130+1,TRUE),0),TRUE))</f>
        <v>0</v>
      </c>
      <c r="H130" s="38">
        <f t="shared" ca="1" si="30"/>
        <v>0</v>
      </c>
      <c r="I130" s="38">
        <f t="shared" ca="1" si="31"/>
        <v>0</v>
      </c>
      <c r="J130" s="38">
        <f t="shared" ca="1" si="32"/>
        <v>0</v>
      </c>
      <c r="N130" s="61" t="str">
        <f t="shared" ca="1" si="34"/>
        <v/>
      </c>
      <c r="AA130" t="str">
        <f t="shared" ca="1" si="33"/>
        <v/>
      </c>
    </row>
    <row r="131" spans="3:27" x14ac:dyDescent="0.25">
      <c r="C131">
        <v>80</v>
      </c>
      <c r="D131" s="39">
        <f t="shared" si="35"/>
        <v>30</v>
      </c>
      <c r="F131" cm="1">
        <f t="array" aca="1" ref="F131" ca="1">INDIRECT(ADDRESS(D131,MATCH(C131,INDIRECT("A"&amp;D131+1&amp;":L"&amp;D131+1,TRUE),0),TRUE))</f>
        <v>0</v>
      </c>
      <c r="G131" cm="1">
        <f t="array" aca="1" ref="G131" ca="1">INDIRECT(ADDRESS(D131+2,MATCH(C131,INDIRECT("A"&amp;D131+1&amp;":L"&amp;D131+1,TRUE),0),TRUE))</f>
        <v>0</v>
      </c>
      <c r="H131" s="38">
        <f t="shared" ca="1" si="30"/>
        <v>0</v>
      </c>
      <c r="I131" s="38">
        <f t="shared" ca="1" si="31"/>
        <v>0</v>
      </c>
      <c r="J131" s="38">
        <f t="shared" ca="1" si="32"/>
        <v>0</v>
      </c>
      <c r="N131" s="61" t="str">
        <f t="shared" ca="1" si="34"/>
        <v/>
      </c>
      <c r="AA131" t="str">
        <f t="shared" ca="1" si="33"/>
        <v/>
      </c>
    </row>
    <row r="132" spans="3:27" x14ac:dyDescent="0.25">
      <c r="C132">
        <v>81</v>
      </c>
      <c r="D132" s="39">
        <f t="shared" si="35"/>
        <v>30</v>
      </c>
      <c r="F132" cm="1">
        <f t="array" aca="1" ref="F132" ca="1">INDIRECT(ADDRESS(D132,MATCH(C132,INDIRECT("A"&amp;D132+1&amp;":L"&amp;D132+1,TRUE),0),TRUE))</f>
        <v>0</v>
      </c>
      <c r="G132" cm="1">
        <f t="array" aca="1" ref="G132" ca="1">INDIRECT(ADDRESS(D132+2,MATCH(C132,INDIRECT("A"&amp;D132+1&amp;":L"&amp;D132+1,TRUE),0),TRUE))</f>
        <v>0</v>
      </c>
      <c r="H132" s="38">
        <f t="shared" ca="1" si="30"/>
        <v>0</v>
      </c>
      <c r="I132" s="38">
        <f t="shared" ca="1" si="31"/>
        <v>0</v>
      </c>
      <c r="J132" s="38">
        <f t="shared" ca="1" si="32"/>
        <v>0</v>
      </c>
      <c r="N132" s="61" t="str">
        <f t="shared" ca="1" si="34"/>
        <v/>
      </c>
      <c r="AA132" t="str">
        <f t="shared" ca="1" si="33"/>
        <v/>
      </c>
    </row>
    <row r="133" spans="3:27" x14ac:dyDescent="0.25">
      <c r="C133">
        <v>82</v>
      </c>
      <c r="D133" s="39">
        <f t="shared" si="35"/>
        <v>30</v>
      </c>
      <c r="F133" cm="1">
        <f t="array" aca="1" ref="F133" ca="1">INDIRECT(ADDRESS(D133,MATCH(C133,INDIRECT("A"&amp;D133+1&amp;":L"&amp;D133+1,TRUE),0),TRUE))</f>
        <v>0</v>
      </c>
      <c r="G133" cm="1">
        <f t="array" aca="1" ref="G133" ca="1">INDIRECT(ADDRESS(D133+2,MATCH(C133,INDIRECT("A"&amp;D133+1&amp;":L"&amp;D133+1,TRUE),0),TRUE))</f>
        <v>0</v>
      </c>
      <c r="H133" s="38">
        <f t="shared" ca="1" si="30"/>
        <v>0</v>
      </c>
      <c r="I133" s="38">
        <f t="shared" ca="1" si="31"/>
        <v>0</v>
      </c>
      <c r="J133" s="38">
        <f t="shared" ca="1" si="32"/>
        <v>0</v>
      </c>
      <c r="N133" s="61" t="str">
        <f t="shared" ca="1" si="34"/>
        <v/>
      </c>
      <c r="AA133" t="str">
        <f t="shared" ca="1" si="33"/>
        <v/>
      </c>
    </row>
    <row r="134" spans="3:27" x14ac:dyDescent="0.25">
      <c r="C134">
        <v>83</v>
      </c>
      <c r="D134" s="39">
        <f t="shared" si="35"/>
        <v>30</v>
      </c>
      <c r="F134" cm="1">
        <f t="array" aca="1" ref="F134" ca="1">INDIRECT(ADDRESS(D134,MATCH(C134,INDIRECT("A"&amp;D134+1&amp;":L"&amp;D134+1,TRUE),0),TRUE))</f>
        <v>0</v>
      </c>
      <c r="G134" cm="1">
        <f t="array" aca="1" ref="G134" ca="1">INDIRECT(ADDRESS(D134+2,MATCH(C134,INDIRECT("A"&amp;D134+1&amp;":L"&amp;D134+1,TRUE),0),TRUE))</f>
        <v>0</v>
      </c>
      <c r="H134" s="38">
        <f t="shared" ca="1" si="30"/>
        <v>0</v>
      </c>
      <c r="I134" s="38">
        <f t="shared" ca="1" si="31"/>
        <v>0</v>
      </c>
      <c r="J134" s="38">
        <f t="shared" ca="1" si="32"/>
        <v>0</v>
      </c>
      <c r="N134" s="61" t="str">
        <f t="shared" ca="1" si="34"/>
        <v/>
      </c>
      <c r="AA134" t="str">
        <f t="shared" ca="1" si="33"/>
        <v/>
      </c>
    </row>
    <row r="135" spans="3:27" x14ac:dyDescent="0.25">
      <c r="C135" s="21">
        <v>84</v>
      </c>
      <c r="D135" s="40">
        <f t="shared" si="35"/>
        <v>30</v>
      </c>
      <c r="E135" s="21"/>
      <c r="F135" cm="1">
        <f t="array" aca="1" ref="F135" ca="1">INDIRECT(ADDRESS(D135,MATCH(C135,INDIRECT("A"&amp;D135+1&amp;":L"&amp;D135+1,TRUE),0),TRUE))</f>
        <v>0</v>
      </c>
      <c r="G135" cm="1">
        <f t="array" aca="1" ref="G135" ca="1">INDIRECT(ADDRESS(D135+2,MATCH(C135,INDIRECT("A"&amp;D135+1&amp;":L"&amp;D135+1,TRUE),0),TRUE))</f>
        <v>0</v>
      </c>
      <c r="H135" s="38">
        <f t="shared" ca="1" si="30"/>
        <v>0</v>
      </c>
      <c r="I135" s="38">
        <f t="shared" ca="1" si="31"/>
        <v>0</v>
      </c>
      <c r="J135" s="38">
        <f t="shared" ca="1" si="32"/>
        <v>0</v>
      </c>
      <c r="N135" s="61" t="str">
        <f t="shared" ca="1" si="34"/>
        <v/>
      </c>
      <c r="AA135" t="str">
        <f t="shared" ca="1" si="33"/>
        <v/>
      </c>
    </row>
    <row r="136" spans="3:27" x14ac:dyDescent="0.25">
      <c r="C136">
        <v>85</v>
      </c>
      <c r="D136" s="39">
        <v>33</v>
      </c>
      <c r="F136" cm="1">
        <f t="array" aca="1" ref="F136" ca="1">INDIRECT(ADDRESS(D136,MATCH(C136,INDIRECT("A"&amp;D136+1&amp;":L"&amp;D136+1,TRUE),0),TRUE))</f>
        <v>0</v>
      </c>
      <c r="G136" cm="1">
        <f t="array" aca="1" ref="G136" ca="1">INDIRECT(ADDRESS(D136+2,MATCH(C136,INDIRECT("A"&amp;D136+1&amp;":L"&amp;D136+1,TRUE),0),TRUE))</f>
        <v>0</v>
      </c>
      <c r="H136" s="38">
        <f t="shared" ca="1" si="30"/>
        <v>0</v>
      </c>
      <c r="I136" s="38">
        <f t="shared" ca="1" si="31"/>
        <v>0</v>
      </c>
      <c r="J136" s="38">
        <f t="shared" ca="1" si="32"/>
        <v>0</v>
      </c>
      <c r="N136" s="61" t="str">
        <f t="shared" ca="1" si="34"/>
        <v/>
      </c>
      <c r="AA136" t="str">
        <f t="shared" ca="1" si="33"/>
        <v/>
      </c>
    </row>
    <row r="137" spans="3:27" x14ac:dyDescent="0.25">
      <c r="C137">
        <v>86</v>
      </c>
      <c r="D137" s="39">
        <f t="shared" si="35"/>
        <v>33</v>
      </c>
      <c r="F137" cm="1">
        <f t="array" aca="1" ref="F137" ca="1">INDIRECT(ADDRESS(D137,MATCH(C137,INDIRECT("A"&amp;D137+1&amp;":L"&amp;D137+1,TRUE),0),TRUE))</f>
        <v>0</v>
      </c>
      <c r="G137" cm="1">
        <f t="array" aca="1" ref="G137" ca="1">INDIRECT(ADDRESS(D137+2,MATCH(C137,INDIRECT("A"&amp;D137+1&amp;":L"&amp;D137+1,TRUE),0),TRUE))</f>
        <v>0</v>
      </c>
      <c r="H137" s="38">
        <f t="shared" ca="1" si="30"/>
        <v>0</v>
      </c>
      <c r="I137" s="38">
        <f t="shared" ca="1" si="31"/>
        <v>0</v>
      </c>
      <c r="J137" s="38">
        <f t="shared" ca="1" si="32"/>
        <v>0</v>
      </c>
      <c r="N137" s="61" t="str">
        <f t="shared" ca="1" si="34"/>
        <v/>
      </c>
      <c r="AA137" t="str">
        <f t="shared" ca="1" si="33"/>
        <v/>
      </c>
    </row>
    <row r="138" spans="3:27" x14ac:dyDescent="0.25">
      <c r="C138">
        <v>87</v>
      </c>
      <c r="D138" s="39">
        <f>IF(D137=D136,D137,D136+3)</f>
        <v>33</v>
      </c>
      <c r="F138" cm="1">
        <f t="array" aca="1" ref="F138" ca="1">INDIRECT(ADDRESS(D138,MATCH(C138,INDIRECT("A"&amp;D138+1&amp;":L"&amp;D138+1,TRUE),0),TRUE))</f>
        <v>0</v>
      </c>
      <c r="G138" cm="1">
        <f t="array" aca="1" ref="G138" ca="1">INDIRECT(ADDRESS(D138+2,MATCH(C138,INDIRECT("A"&amp;D138+1&amp;":L"&amp;D138+1,TRUE),0),TRUE))</f>
        <v>0</v>
      </c>
      <c r="H138" s="38">
        <f t="shared" ca="1" si="30"/>
        <v>0</v>
      </c>
      <c r="I138" s="38">
        <f t="shared" ca="1" si="31"/>
        <v>0</v>
      </c>
      <c r="J138" s="38">
        <f t="shared" ca="1" si="32"/>
        <v>0</v>
      </c>
      <c r="N138" s="61" t="str">
        <f t="shared" ca="1" si="34"/>
        <v/>
      </c>
      <c r="AA138" t="str">
        <f t="shared" ca="1" si="33"/>
        <v/>
      </c>
    </row>
    <row r="139" spans="3:27" x14ac:dyDescent="0.25">
      <c r="C139" s="21">
        <v>88</v>
      </c>
      <c r="D139" s="40">
        <f>IF(D138=D137,D138,D137+3)</f>
        <v>33</v>
      </c>
      <c r="E139" s="21"/>
      <c r="F139" s="21" cm="1">
        <f t="array" aca="1" ref="F139" ca="1">INDIRECT(ADDRESS(D139,MATCH(C139,INDIRECT("A"&amp;D139+1&amp;":L"&amp;D139+1,TRUE),0),TRUE))</f>
        <v>0</v>
      </c>
      <c r="G139" s="21" cm="1">
        <f t="array" aca="1" ref="G139" ca="1">INDIRECT(ADDRESS(D139+2,MATCH(C139,INDIRECT("A"&amp;D139+1&amp;":L"&amp;D139+1,TRUE),0),TRUE))</f>
        <v>0</v>
      </c>
      <c r="H139" s="59">
        <f t="shared" ca="1" si="30"/>
        <v>0</v>
      </c>
      <c r="I139" s="59">
        <f t="shared" ca="1" si="31"/>
        <v>0</v>
      </c>
      <c r="J139" s="59">
        <f t="shared" ca="1" si="32"/>
        <v>0</v>
      </c>
      <c r="N139" s="61" t="str">
        <f t="shared" ca="1" si="34"/>
        <v/>
      </c>
      <c r="AA139" s="21" t="str">
        <f t="shared" ca="1" si="33"/>
        <v/>
      </c>
    </row>
    <row r="140" spans="3:27" x14ac:dyDescent="0.25">
      <c r="H140" s="60">
        <f ca="1">SUM(H52:H139)*100/88</f>
        <v>0</v>
      </c>
      <c r="I140" s="60">
        <f ca="1">SUM(I52:I139)*100/88</f>
        <v>0</v>
      </c>
      <c r="J140" s="60">
        <f ca="1">SUM(J52:J139)*100/88</f>
        <v>0</v>
      </c>
    </row>
  </sheetData>
  <mergeCells count="98">
    <mergeCell ref="B1:F1"/>
    <mergeCell ref="E2:F2"/>
    <mergeCell ref="D3:H3"/>
    <mergeCell ref="F4:H4"/>
    <mergeCell ref="V9:V11"/>
    <mergeCell ref="U6:U8"/>
    <mergeCell ref="I2:L4"/>
    <mergeCell ref="I1:L1"/>
    <mergeCell ref="A44:B44"/>
    <mergeCell ref="A45:B45"/>
    <mergeCell ref="R6:R8"/>
    <mergeCell ref="S6:S8"/>
    <mergeCell ref="T6:T8"/>
    <mergeCell ref="P15:P17"/>
    <mergeCell ref="Q15:Q17"/>
    <mergeCell ref="R15:R17"/>
    <mergeCell ref="S15:S17"/>
    <mergeCell ref="T15:T17"/>
    <mergeCell ref="E36:H36"/>
    <mergeCell ref="R36:U36"/>
    <mergeCell ref="T33:T35"/>
    <mergeCell ref="U33:U35"/>
    <mergeCell ref="O24:O26"/>
    <mergeCell ref="O27:O29"/>
    <mergeCell ref="U15:U17"/>
    <mergeCell ref="W9:W11"/>
    <mergeCell ref="P12:P14"/>
    <mergeCell ref="Q12:Q14"/>
    <mergeCell ref="R12:R14"/>
    <mergeCell ref="S12:S14"/>
    <mergeCell ref="T12:T14"/>
    <mergeCell ref="U12:U14"/>
    <mergeCell ref="V12:V14"/>
    <mergeCell ref="W12:W14"/>
    <mergeCell ref="P9:P11"/>
    <mergeCell ref="Q9:Q11"/>
    <mergeCell ref="R9:R11"/>
    <mergeCell ref="S9:S11"/>
    <mergeCell ref="T9:T11"/>
    <mergeCell ref="U9:U11"/>
    <mergeCell ref="V21:V23"/>
    <mergeCell ref="W21:W23"/>
    <mergeCell ref="P24:P26"/>
    <mergeCell ref="Q24:Q26"/>
    <mergeCell ref="R24:R26"/>
    <mergeCell ref="S24:S26"/>
    <mergeCell ref="T24:T26"/>
    <mergeCell ref="U24:U26"/>
    <mergeCell ref="V24:V26"/>
    <mergeCell ref="W24:W26"/>
    <mergeCell ref="P21:P23"/>
    <mergeCell ref="Q21:Q23"/>
    <mergeCell ref="R21:R23"/>
    <mergeCell ref="S21:S23"/>
    <mergeCell ref="T21:T23"/>
    <mergeCell ref="U21:U23"/>
    <mergeCell ref="V27:V29"/>
    <mergeCell ref="W27:W29"/>
    <mergeCell ref="P30:P32"/>
    <mergeCell ref="Q30:Q32"/>
    <mergeCell ref="R30:R32"/>
    <mergeCell ref="S30:S32"/>
    <mergeCell ref="T30:T32"/>
    <mergeCell ref="U30:U32"/>
    <mergeCell ref="V30:V32"/>
    <mergeCell ref="W30:W32"/>
    <mergeCell ref="P27:P29"/>
    <mergeCell ref="Q27:Q29"/>
    <mergeCell ref="R27:R29"/>
    <mergeCell ref="S27:S29"/>
    <mergeCell ref="T27:T29"/>
    <mergeCell ref="U27:U29"/>
    <mergeCell ref="X15:X17"/>
    <mergeCell ref="X18:X20"/>
    <mergeCell ref="O12:O14"/>
    <mergeCell ref="X12:X14"/>
    <mergeCell ref="O15:O17"/>
    <mergeCell ref="O18:O20"/>
    <mergeCell ref="V15:V17"/>
    <mergeCell ref="W15:W17"/>
    <mergeCell ref="P18:P20"/>
    <mergeCell ref="Q18:Q20"/>
    <mergeCell ref="R18:R20"/>
    <mergeCell ref="S18:S20"/>
    <mergeCell ref="T18:T20"/>
    <mergeCell ref="U18:U20"/>
    <mergeCell ref="V18:V20"/>
    <mergeCell ref="W18:W20"/>
    <mergeCell ref="Y18:Y20"/>
    <mergeCell ref="X21:X23"/>
    <mergeCell ref="Y21:Y23"/>
    <mergeCell ref="X24:X26"/>
    <mergeCell ref="X27:X29"/>
    <mergeCell ref="R33:R35"/>
    <mergeCell ref="S33:S35"/>
    <mergeCell ref="N18:N20"/>
    <mergeCell ref="N21:N23"/>
    <mergeCell ref="O21:O23"/>
  </mergeCells>
  <phoneticPr fontId="7" type="noConversion"/>
  <conditionalFormatting sqref="A44:C44">
    <cfRule type="expression" dxfId="216" priority="1">
      <formula>ISBLANK($K$52)</formula>
    </cfRule>
  </conditionalFormatting>
  <conditionalFormatting sqref="A45:C45">
    <cfRule type="expression" dxfId="215" priority="2">
      <formula>ISBLANK($L$52)</formula>
    </cfRule>
  </conditionalFormatting>
  <conditionalFormatting sqref="E6:H6 C9:J9 B12:K12 B15:K15 A18:L18 A21:L21 B24:K24 B27:K27 C30:J30 E33:H33">
    <cfRule type="cellIs" dxfId="214" priority="216" operator="between">
      <formula>30</formula>
      <formula>100</formula>
    </cfRule>
    <cfRule type="cellIs" dxfId="213" priority="215" operator="between">
      <formula>10</formula>
      <formula>30</formula>
    </cfRule>
    <cfRule type="cellIs" dxfId="212" priority="214" operator="between">
      <formula>0.001</formula>
      <formula>10</formula>
    </cfRule>
  </conditionalFormatting>
  <conditionalFormatting sqref="E6:H6 E8:H8 C9:J9 C11:J11 B12:K12 B14:K15 B17:K17 A18:L18 A20:L21 A23:L23 B24:K24 B26:K27 B29:K29 C30:J30 C32:J32 E33:H33 E35:H35">
    <cfRule type="containsText" dxfId="211" priority="210" operator="containsText" text="short">
      <formula>NOT(ISERROR(SEARCH("short",A6)))</formula>
    </cfRule>
    <cfRule type="containsText" dxfId="210" priority="209" operator="containsText" text="open">
      <formula>NOT(ISERROR(SEARCH("open",A6)))</formula>
    </cfRule>
    <cfRule type="cellIs" dxfId="209" priority="208" operator="greaterThanOrEqual">
      <formula>$E$48</formula>
    </cfRule>
  </conditionalFormatting>
  <conditionalFormatting sqref="E8:H8 C11:J11 B14:K14 B17:K17 A20:L20 A23:L23 B26:K26 B29:K29 C32:J32 E35:H35">
    <cfRule type="cellIs" dxfId="208" priority="213" operator="between">
      <formula>$B$48</formula>
      <formula>100</formula>
    </cfRule>
    <cfRule type="cellIs" dxfId="207" priority="212" operator="between">
      <formula>10</formula>
      <formula>$B$48</formula>
    </cfRule>
    <cfRule type="cellIs" dxfId="206" priority="211" operator="between">
      <formula>0.001</formula>
      <formula>10</formula>
    </cfRule>
  </conditionalFormatting>
  <conditionalFormatting sqref="F52:F139">
    <cfRule type="expression" dxfId="205" priority="207">
      <formula>$B$55=QUOTIENT($F52,1)</formula>
    </cfRule>
  </conditionalFormatting>
  <conditionalFormatting sqref="G52:G139">
    <cfRule type="expression" dxfId="204" priority="206">
      <formula>$B$55=QUOTIENT($G52,1)</formula>
    </cfRule>
  </conditionalFormatting>
  <conditionalFormatting sqref="N18">
    <cfRule type="expression" dxfId="203" priority="30">
      <formula>$N$84="UD"</formula>
    </cfRule>
    <cfRule type="expression" dxfId="202" priority="29">
      <formula>$N$84="BD"</formula>
    </cfRule>
  </conditionalFormatting>
  <conditionalFormatting sqref="N21">
    <cfRule type="expression" dxfId="201" priority="102">
      <formula>$N$96="UD"</formula>
    </cfRule>
    <cfRule type="expression" dxfId="200" priority="101">
      <formula>$N$96="BD"</formula>
    </cfRule>
  </conditionalFormatting>
  <conditionalFormatting sqref="O12">
    <cfRule type="expression" dxfId="199" priority="165">
      <formula>$N$64="BD"</formula>
    </cfRule>
    <cfRule type="expression" dxfId="198" priority="166">
      <formula>$N$64="UD"</formula>
    </cfRule>
  </conditionalFormatting>
  <conditionalFormatting sqref="O15">
    <cfRule type="expression" dxfId="197" priority="9">
      <formula>$N$74="BD"</formula>
    </cfRule>
    <cfRule type="expression" dxfId="196" priority="10">
      <formula>$N$74="UD"</formula>
    </cfRule>
  </conditionalFormatting>
  <conditionalFormatting sqref="O18">
    <cfRule type="expression" dxfId="195" priority="28">
      <formula>$N$85="UD"</formula>
    </cfRule>
    <cfRule type="expression" dxfId="194" priority="27">
      <formula>$N$85="BD"</formula>
    </cfRule>
  </conditionalFormatting>
  <conditionalFormatting sqref="O21">
    <cfRule type="expression" dxfId="193" priority="100">
      <formula>$N$97="UD"</formula>
    </cfRule>
    <cfRule type="expression" dxfId="192" priority="99">
      <formula>$N$97="BD"</formula>
    </cfRule>
  </conditionalFormatting>
  <conditionalFormatting sqref="O24">
    <cfRule type="expression" dxfId="191" priority="82">
      <formula>$N$108="UD"</formula>
    </cfRule>
    <cfRule type="expression" dxfId="190" priority="81">
      <formula>$N$108="BD"</formula>
    </cfRule>
  </conditionalFormatting>
  <conditionalFormatting sqref="O27">
    <cfRule type="expression" dxfId="189" priority="65">
      <formula>$N$118="BD"</formula>
    </cfRule>
    <cfRule type="expression" dxfId="188" priority="66">
      <formula>$N$118="UD"</formula>
    </cfRule>
  </conditionalFormatting>
  <conditionalFormatting sqref="P9">
    <cfRule type="expression" dxfId="187" priority="180">
      <formula>$N$56="BD"</formula>
    </cfRule>
    <cfRule type="expression" dxfId="186" priority="179">
      <formula>$N$56="UD"</formula>
    </cfRule>
  </conditionalFormatting>
  <conditionalFormatting sqref="P12">
    <cfRule type="expression" dxfId="185" priority="6">
      <formula>$N$65="UD"</formula>
    </cfRule>
    <cfRule type="expression" dxfId="184" priority="5">
      <formula>$N$65="BD"</formula>
    </cfRule>
  </conditionalFormatting>
  <conditionalFormatting sqref="P15">
    <cfRule type="expression" dxfId="183" priority="8">
      <formula>$N$75="UD"</formula>
    </cfRule>
    <cfRule type="expression" dxfId="182" priority="7">
      <formula>$N$75="BD"</formula>
    </cfRule>
  </conditionalFormatting>
  <conditionalFormatting sqref="P18">
    <cfRule type="expression" dxfId="181" priority="122">
      <formula>$N$86="UD"</formula>
    </cfRule>
    <cfRule type="expression" dxfId="180" priority="121">
      <formula>$N$86="BD"</formula>
    </cfRule>
  </conditionalFormatting>
  <conditionalFormatting sqref="P21">
    <cfRule type="expression" dxfId="179" priority="97">
      <formula>$N$98="BD"</formula>
    </cfRule>
    <cfRule type="expression" dxfId="178" priority="98">
      <formula>$N$98="UD"</formula>
    </cfRule>
  </conditionalFormatting>
  <conditionalFormatting sqref="P24">
    <cfRule type="expression" dxfId="177" priority="80">
      <formula>$N$109="UD"</formula>
    </cfRule>
    <cfRule type="expression" dxfId="176" priority="79">
      <formula>$N$109="BD"</formula>
    </cfRule>
  </conditionalFormatting>
  <conditionalFormatting sqref="P27">
    <cfRule type="expression" dxfId="175" priority="64">
      <formula>$N$119="UD"</formula>
    </cfRule>
    <cfRule type="expression" dxfId="174" priority="63">
      <formula>$N$119="BD"</formula>
    </cfRule>
  </conditionalFormatting>
  <conditionalFormatting sqref="P30">
    <cfRule type="expression" dxfId="173" priority="50">
      <formula>$N$128="UD"</formula>
    </cfRule>
    <cfRule type="expression" dxfId="172" priority="49">
      <formula>$N$128="BD"</formula>
    </cfRule>
  </conditionalFormatting>
  <conditionalFormatting sqref="Q9">
    <cfRule type="expression" dxfId="171" priority="178">
      <formula>$N$57="BD"</formula>
    </cfRule>
    <cfRule type="expression" dxfId="170" priority="177">
      <formula>$N$57="UD"</formula>
    </cfRule>
  </conditionalFormatting>
  <conditionalFormatting sqref="Q12">
    <cfRule type="expression" dxfId="169" priority="155">
      <formula>$N$66="BD"</formula>
    </cfRule>
    <cfRule type="expression" dxfId="168" priority="156">
      <formula>$N$66="UD"</formula>
    </cfRule>
  </conditionalFormatting>
  <conditionalFormatting sqref="Q15">
    <cfRule type="expression" dxfId="167" priority="137">
      <formula>$N$76="BD"</formula>
    </cfRule>
    <cfRule type="expression" dxfId="166" priority="138">
      <formula>$N$76="UD"</formula>
    </cfRule>
  </conditionalFormatting>
  <conditionalFormatting sqref="Q18">
    <cfRule type="expression" dxfId="165" priority="120">
      <formula>$N$87="UD"</formula>
    </cfRule>
    <cfRule type="expression" dxfId="164" priority="119">
      <formula>$N$87="BD"</formula>
    </cfRule>
  </conditionalFormatting>
  <conditionalFormatting sqref="Q21">
    <cfRule type="expression" dxfId="163" priority="96">
      <formula>$N$99="UD"</formula>
    </cfRule>
    <cfRule type="expression" dxfId="162" priority="95">
      <formula>$N$99="BD"</formula>
    </cfRule>
  </conditionalFormatting>
  <conditionalFormatting sqref="Q24">
    <cfRule type="expression" dxfId="161" priority="78">
      <formula>$N$110="UD"</formula>
    </cfRule>
    <cfRule type="expression" dxfId="160" priority="77">
      <formula>$N$110="BD"</formula>
    </cfRule>
  </conditionalFormatting>
  <conditionalFormatting sqref="Q27">
    <cfRule type="expression" dxfId="159" priority="61">
      <formula>$N$120="BD"</formula>
    </cfRule>
    <cfRule type="expression" dxfId="158" priority="62">
      <formula>$N$120="UD"</formula>
    </cfRule>
  </conditionalFormatting>
  <conditionalFormatting sqref="Q30">
    <cfRule type="expression" dxfId="157" priority="48">
      <formula>$N$129="UD"</formula>
    </cfRule>
    <cfRule type="expression" dxfId="156" priority="47">
      <formula>$N$129="BD"</formula>
    </cfRule>
  </conditionalFormatting>
  <conditionalFormatting sqref="R6">
    <cfRule type="expression" dxfId="155" priority="188">
      <formula>$N$52="BD"</formula>
    </cfRule>
    <cfRule type="expression" dxfId="154" priority="187">
      <formula>$N$52="UD"</formula>
    </cfRule>
  </conditionalFormatting>
  <conditionalFormatting sqref="R9">
    <cfRule type="expression" dxfId="153" priority="176">
      <formula>$N$58="BD"</formula>
    </cfRule>
    <cfRule type="expression" dxfId="152" priority="175">
      <formula>$N$58="UD"</formula>
    </cfRule>
  </conditionalFormatting>
  <conditionalFormatting sqref="R12">
    <cfRule type="expression" dxfId="151" priority="154">
      <formula>$N$67="UD"</formula>
    </cfRule>
    <cfRule type="expression" dxfId="150" priority="153">
      <formula>$N$67="BD"</formula>
    </cfRule>
  </conditionalFormatting>
  <conditionalFormatting sqref="R15">
    <cfRule type="expression" dxfId="149" priority="136">
      <formula>$N$77="UD"</formula>
    </cfRule>
    <cfRule type="expression" dxfId="148" priority="135">
      <formula>$N$77="BD"</formula>
    </cfRule>
  </conditionalFormatting>
  <conditionalFormatting sqref="R18">
    <cfRule type="expression" dxfId="147" priority="117">
      <formula>$N$88="BD"</formula>
    </cfRule>
    <cfRule type="expression" dxfId="146" priority="118">
      <formula>$N$88="UD"</formula>
    </cfRule>
  </conditionalFormatting>
  <conditionalFormatting sqref="R21">
    <cfRule type="expression" dxfId="145" priority="94">
      <formula>$N$100="UD"</formula>
    </cfRule>
    <cfRule type="expression" dxfId="144" priority="93">
      <formula>$N$100="BD"</formula>
    </cfRule>
  </conditionalFormatting>
  <conditionalFormatting sqref="R24">
    <cfRule type="expression" dxfId="143" priority="75">
      <formula>$N$111="BD"</formula>
    </cfRule>
    <cfRule type="expression" dxfId="142" priority="76">
      <formula>$N$111="UD"</formula>
    </cfRule>
  </conditionalFormatting>
  <conditionalFormatting sqref="R27">
    <cfRule type="expression" dxfId="141" priority="60">
      <formula>$N$121="UD"</formula>
    </cfRule>
    <cfRule type="expression" dxfId="140" priority="59">
      <formula>$N$121="BD"</formula>
    </cfRule>
  </conditionalFormatting>
  <conditionalFormatting sqref="R30">
    <cfRule type="expression" dxfId="139" priority="45">
      <formula>$N$130="BD"</formula>
    </cfRule>
    <cfRule type="expression" dxfId="138" priority="46">
      <formula>$N$130="UD"</formula>
    </cfRule>
  </conditionalFormatting>
  <conditionalFormatting sqref="R33">
    <cfRule type="expression" dxfId="137" priority="37">
      <formula>$N$136="BD"</formula>
    </cfRule>
    <cfRule type="expression" dxfId="136" priority="38">
      <formula>$N$136="UD"</formula>
    </cfRule>
  </conditionalFormatting>
  <conditionalFormatting sqref="S6">
    <cfRule type="expression" dxfId="135" priority="186">
      <formula>$N$53="UD"</formula>
    </cfRule>
    <cfRule type="expression" dxfId="134" priority="185">
      <formula>$N$53="BD"</formula>
    </cfRule>
  </conditionalFormatting>
  <conditionalFormatting sqref="S9">
    <cfRule type="expression" dxfId="133" priority="174">
      <formula>$N$59="UD"</formula>
    </cfRule>
    <cfRule type="expression" dxfId="132" priority="173">
      <formula>$N$59="BD"</formula>
    </cfRule>
  </conditionalFormatting>
  <conditionalFormatting sqref="S12">
    <cfRule type="expression" dxfId="131" priority="149">
      <formula>$N$68="BD"</formula>
    </cfRule>
    <cfRule type="expression" dxfId="130" priority="152">
      <formula>$N$68="UD"</formula>
    </cfRule>
    <cfRule type="expression" dxfId="129" priority="150">
      <formula>$N$68="UD"</formula>
    </cfRule>
    <cfRule type="expression" dxfId="128" priority="151">
      <formula>$N$68="BD"</formula>
    </cfRule>
  </conditionalFormatting>
  <conditionalFormatting sqref="S15">
    <cfRule type="expression" dxfId="127" priority="133">
      <formula>$N$78="BD"</formula>
    </cfRule>
    <cfRule type="expression" dxfId="126" priority="134">
      <formula>$N$78="UD"</formula>
    </cfRule>
  </conditionalFormatting>
  <conditionalFormatting sqref="S18">
    <cfRule type="expression" dxfId="125" priority="116">
      <formula>$N$89="UD"</formula>
    </cfRule>
    <cfRule type="expression" dxfId="124" priority="115">
      <formula>$N$89="BD"</formula>
    </cfRule>
  </conditionalFormatting>
  <conditionalFormatting sqref="S21">
    <cfRule type="expression" dxfId="123" priority="92">
      <formula>$N$101="UD"</formula>
    </cfRule>
    <cfRule type="expression" dxfId="122" priority="91">
      <formula>$N$101="BD"</formula>
    </cfRule>
  </conditionalFormatting>
  <conditionalFormatting sqref="S24">
    <cfRule type="expression" dxfId="121" priority="73">
      <formula>$N$112="BD"</formula>
    </cfRule>
    <cfRule type="expression" dxfId="120" priority="74">
      <formula>$N$112="UD"</formula>
    </cfRule>
  </conditionalFormatting>
  <conditionalFormatting sqref="S27">
    <cfRule type="expression" dxfId="119" priority="58">
      <formula>$N$122="UD"</formula>
    </cfRule>
    <cfRule type="expression" dxfId="118" priority="57">
      <formula>$N$122="BD"</formula>
    </cfRule>
  </conditionalFormatting>
  <conditionalFormatting sqref="S30">
    <cfRule type="expression" dxfId="117" priority="43">
      <formula>$N$131="BD"</formula>
    </cfRule>
    <cfRule type="expression" dxfId="116" priority="44">
      <formula>$N$131="UD"</formula>
    </cfRule>
  </conditionalFormatting>
  <conditionalFormatting sqref="S33">
    <cfRule type="expression" dxfId="115" priority="36">
      <formula>$N$137="UD"</formula>
    </cfRule>
    <cfRule type="expression" dxfId="114" priority="35">
      <formula>$N$137="BD"</formula>
    </cfRule>
  </conditionalFormatting>
  <conditionalFormatting sqref="T6">
    <cfRule type="expression" dxfId="113" priority="184">
      <formula>$N$54="UD"</formula>
    </cfRule>
    <cfRule type="expression" dxfId="112" priority="183">
      <formula>$N$54="BD"</formula>
    </cfRule>
  </conditionalFormatting>
  <conditionalFormatting sqref="T9">
    <cfRule type="expression" dxfId="111" priority="163">
      <formula>$N$60="BD"</formula>
    </cfRule>
    <cfRule type="expression" dxfId="110" priority="164">
      <formula>$N$60="UD"</formula>
    </cfRule>
  </conditionalFormatting>
  <conditionalFormatting sqref="T12">
    <cfRule type="expression" dxfId="109" priority="148">
      <formula>$N$69="UD"</formula>
    </cfRule>
    <cfRule type="expression" dxfId="108" priority="147">
      <formula>$N$69="BD"</formula>
    </cfRule>
  </conditionalFormatting>
  <conditionalFormatting sqref="T15">
    <cfRule type="expression" dxfId="107" priority="131">
      <formula>$N$79="BD"</formula>
    </cfRule>
    <cfRule type="expression" dxfId="106" priority="132">
      <formula>$N$79="UD"</formula>
    </cfRule>
  </conditionalFormatting>
  <conditionalFormatting sqref="T18">
    <cfRule type="expression" dxfId="105" priority="113">
      <formula>$N$90="BD"</formula>
    </cfRule>
    <cfRule type="expression" dxfId="104" priority="114">
      <formula>$N$90="UD"</formula>
    </cfRule>
  </conditionalFormatting>
  <conditionalFormatting sqref="T21">
    <cfRule type="expression" dxfId="103" priority="89">
      <formula>$N$102="BD"</formula>
    </cfRule>
    <cfRule type="expression" dxfId="102" priority="90">
      <formula>$N$102="UD"</formula>
    </cfRule>
  </conditionalFormatting>
  <conditionalFormatting sqref="T24">
    <cfRule type="expression" dxfId="101" priority="72">
      <formula>$N$113="UD"</formula>
    </cfRule>
    <cfRule type="expression" dxfId="100" priority="71">
      <formula>$N$113="BD"</formula>
    </cfRule>
  </conditionalFormatting>
  <conditionalFormatting sqref="T27">
    <cfRule type="expression" dxfId="99" priority="56">
      <formula>$N$123="UD"</formula>
    </cfRule>
    <cfRule type="expression" dxfId="98" priority="55">
      <formula>$N$123="BD"</formula>
    </cfRule>
  </conditionalFormatting>
  <conditionalFormatting sqref="T30">
    <cfRule type="expression" dxfId="97" priority="41">
      <formula>$N$132="BD"</formula>
    </cfRule>
    <cfRule type="expression" dxfId="96" priority="42">
      <formula>$N$132="UD"</formula>
    </cfRule>
  </conditionalFormatting>
  <conditionalFormatting sqref="T33">
    <cfRule type="expression" dxfId="95" priority="33">
      <formula>$N$138="BD"</formula>
    </cfRule>
    <cfRule type="expression" dxfId="94" priority="34">
      <formula>$N$138="UD"</formula>
    </cfRule>
  </conditionalFormatting>
  <conditionalFormatting sqref="U6">
    <cfRule type="expression" dxfId="93" priority="171">
      <formula>$N$55="BD"</formula>
    </cfRule>
    <cfRule type="expression" dxfId="92" priority="172">
      <formula>$N$55="UD"</formula>
    </cfRule>
  </conditionalFormatting>
  <conditionalFormatting sqref="U9">
    <cfRule type="expression" dxfId="91" priority="169">
      <formula>$N$61="BD"</formula>
    </cfRule>
    <cfRule type="expression" dxfId="90" priority="170">
      <formula>$N$61="UD"</formula>
    </cfRule>
  </conditionalFormatting>
  <conditionalFormatting sqref="U12">
    <cfRule type="expression" dxfId="89" priority="145">
      <formula>$N$70="BD"</formula>
    </cfRule>
    <cfRule type="expression" dxfId="88" priority="146">
      <formula>$N$70="UD"</formula>
    </cfRule>
  </conditionalFormatting>
  <conditionalFormatting sqref="U15">
    <cfRule type="expression" dxfId="87" priority="130">
      <formula>$N$80="UD"</formula>
    </cfRule>
    <cfRule type="expression" dxfId="86" priority="129">
      <formula>$N$80="BD"</formula>
    </cfRule>
  </conditionalFormatting>
  <conditionalFormatting sqref="U18">
    <cfRule type="expression" dxfId="85" priority="111">
      <formula>$N$91="BD"</formula>
    </cfRule>
    <cfRule type="expression" dxfId="84" priority="112">
      <formula>$N$91="UD"</formula>
    </cfRule>
  </conditionalFormatting>
  <conditionalFormatting sqref="U21">
    <cfRule type="expression" dxfId="83" priority="88">
      <formula>$N$103="UD"</formula>
    </cfRule>
    <cfRule type="expression" dxfId="82" priority="87">
      <formula>$N$103="BD"</formula>
    </cfRule>
  </conditionalFormatting>
  <conditionalFormatting sqref="U24">
    <cfRule type="expression" dxfId="81" priority="70">
      <formula>$N$114="UD"</formula>
    </cfRule>
    <cfRule type="expression" dxfId="80" priority="69">
      <formula>$N$114="BD"</formula>
    </cfRule>
  </conditionalFormatting>
  <conditionalFormatting sqref="U27">
    <cfRule type="expression" dxfId="79" priority="54">
      <formula>$N$124="UD"</formula>
    </cfRule>
    <cfRule type="expression" dxfId="78" priority="53">
      <formula>$N$124="BD"</formula>
    </cfRule>
  </conditionalFormatting>
  <conditionalFormatting sqref="U30">
    <cfRule type="expression" dxfId="77" priority="39">
      <formula>$N$133="BD"</formula>
    </cfRule>
    <cfRule type="expression" dxfId="76" priority="40">
      <formula>$N$133="UD"</formula>
    </cfRule>
  </conditionalFormatting>
  <conditionalFormatting sqref="U33">
    <cfRule type="expression" dxfId="75" priority="32">
      <formula>$N$139="UD"</formula>
    </cfRule>
    <cfRule type="expression" dxfId="74" priority="31">
      <formula>$N$139="BD"</formula>
    </cfRule>
  </conditionalFormatting>
  <conditionalFormatting sqref="V9">
    <cfRule type="expression" dxfId="73" priority="167">
      <formula>$N$62="BD"</formula>
    </cfRule>
    <cfRule type="expression" dxfId="72" priority="168">
      <formula>$N$62="UD"</formula>
    </cfRule>
  </conditionalFormatting>
  <conditionalFormatting sqref="V12">
    <cfRule type="expression" dxfId="71" priority="143">
      <formula>$N$71="BD"</formula>
    </cfRule>
    <cfRule type="expression" dxfId="70" priority="144">
      <formula>$N$71="UD"</formula>
    </cfRule>
  </conditionalFormatting>
  <conditionalFormatting sqref="V15">
    <cfRule type="expression" dxfId="69" priority="127">
      <formula>$N$81="BD"</formula>
    </cfRule>
    <cfRule type="expression" dxfId="68" priority="128">
      <formula>$N$81="UD"</formula>
    </cfRule>
  </conditionalFormatting>
  <conditionalFormatting sqref="V18">
    <cfRule type="expression" dxfId="67" priority="110">
      <formula>$N$92="UD"</formula>
    </cfRule>
    <cfRule type="expression" dxfId="66" priority="109">
      <formula>$N$92="BD"</formula>
    </cfRule>
  </conditionalFormatting>
  <conditionalFormatting sqref="V21">
    <cfRule type="expression" dxfId="65" priority="86">
      <formula>$N$104="UD"</formula>
    </cfRule>
    <cfRule type="expression" dxfId="64" priority="85">
      <formula>$N$104="BD"</formula>
    </cfRule>
  </conditionalFormatting>
  <conditionalFormatting sqref="V24">
    <cfRule type="expression" dxfId="63" priority="68">
      <formula>$N$115="UD"</formula>
    </cfRule>
    <cfRule type="expression" dxfId="62" priority="67">
      <formula>$N$115="BD"</formula>
    </cfRule>
  </conditionalFormatting>
  <conditionalFormatting sqref="V27">
    <cfRule type="expression" dxfId="61" priority="52">
      <formula>$N$125="UD"</formula>
    </cfRule>
    <cfRule type="expression" dxfId="60" priority="51">
      <formula>$N$125="BD"</formula>
    </cfRule>
  </conditionalFormatting>
  <conditionalFormatting sqref="V30">
    <cfRule type="expression" dxfId="59" priority="21">
      <formula>$N$134="BD"</formula>
    </cfRule>
    <cfRule type="expression" dxfId="58" priority="22">
      <formula>$N$134="UD"</formula>
    </cfRule>
  </conditionalFormatting>
  <conditionalFormatting sqref="W9">
    <cfRule type="expression" dxfId="57" priority="182">
      <formula>$N$63="UD"</formula>
    </cfRule>
    <cfRule type="expression" dxfId="56" priority="181">
      <formula>$N$63="BD"</formula>
    </cfRule>
  </conditionalFormatting>
  <conditionalFormatting sqref="W12">
    <cfRule type="expression" dxfId="55" priority="142">
      <formula>$N$72="UD"</formula>
    </cfRule>
    <cfRule type="expression" dxfId="54" priority="141">
      <formula>$N$72="BD"</formula>
    </cfRule>
  </conditionalFormatting>
  <conditionalFormatting sqref="W15">
    <cfRule type="expression" dxfId="53" priority="125">
      <formula>$N$82="BD"</formula>
    </cfRule>
    <cfRule type="expression" dxfId="52" priority="126">
      <formula>$N$82="UD"</formula>
    </cfRule>
  </conditionalFormatting>
  <conditionalFormatting sqref="W18">
    <cfRule type="expression" dxfId="51" priority="107">
      <formula>$N$93="BD"</formula>
    </cfRule>
    <cfRule type="expression" dxfId="50" priority="108">
      <formula>$N$93="UD"</formula>
    </cfRule>
  </conditionalFormatting>
  <conditionalFormatting sqref="W21">
    <cfRule type="expression" dxfId="49" priority="84">
      <formula>$N$105="UD"</formula>
    </cfRule>
    <cfRule type="expression" dxfId="48" priority="83">
      <formula>$N$105="BD"</formula>
    </cfRule>
  </conditionalFormatting>
  <conditionalFormatting sqref="W24">
    <cfRule type="expression" dxfId="47" priority="14">
      <formula>$N$116="UD"</formula>
    </cfRule>
    <cfRule type="expression" dxfId="46" priority="13">
      <formula>$N$116="BD"</formula>
    </cfRule>
  </conditionalFormatting>
  <conditionalFormatting sqref="W27">
    <cfRule type="expression" dxfId="45" priority="18">
      <formula>$N$126="UD"</formula>
    </cfRule>
    <cfRule type="expression" dxfId="44" priority="17">
      <formula>$N$126="BD"</formula>
    </cfRule>
  </conditionalFormatting>
  <conditionalFormatting sqref="W30">
    <cfRule type="expression" dxfId="43" priority="20">
      <formula>$N$135="UD"</formula>
    </cfRule>
    <cfRule type="expression" dxfId="42" priority="19">
      <formula>$N$135="BD"</formula>
    </cfRule>
  </conditionalFormatting>
  <conditionalFormatting sqref="X12">
    <cfRule type="expression" dxfId="41" priority="140">
      <formula>$N$73="UD"</formula>
    </cfRule>
    <cfRule type="expression" dxfId="40" priority="139">
      <formula>$N$73="BD"</formula>
    </cfRule>
  </conditionalFormatting>
  <conditionalFormatting sqref="X15">
    <cfRule type="expression" dxfId="39" priority="123">
      <formula>$N$83="BD"</formula>
    </cfRule>
    <cfRule type="expression" dxfId="38" priority="124">
      <formula>$N$83="UD"</formula>
    </cfRule>
  </conditionalFormatting>
  <conditionalFormatting sqref="X18">
    <cfRule type="expression" dxfId="37" priority="105">
      <formula>$N$94="BD"</formula>
    </cfRule>
    <cfRule type="expression" dxfId="36" priority="106">
      <formula>$N$94="UD"</formula>
    </cfRule>
  </conditionalFormatting>
  <conditionalFormatting sqref="X21">
    <cfRule type="expression" dxfId="35" priority="25">
      <formula>$N$106="BD"</formula>
    </cfRule>
    <cfRule type="expression" dxfId="34" priority="26">
      <formula>$N$106="UD"</formula>
    </cfRule>
  </conditionalFormatting>
  <conditionalFormatting sqref="X24">
    <cfRule type="expression" dxfId="33" priority="12">
      <formula>$N$117="UD"</formula>
    </cfRule>
    <cfRule type="expression" dxfId="32" priority="11">
      <formula>$N$117="BD"</formula>
    </cfRule>
  </conditionalFormatting>
  <conditionalFormatting sqref="X27">
    <cfRule type="expression" dxfId="31" priority="16">
      <formula>$N$127="UD"</formula>
    </cfRule>
    <cfRule type="expression" dxfId="30" priority="15">
      <formula>$N$127="BD"</formula>
    </cfRule>
  </conditionalFormatting>
  <conditionalFormatting sqref="Y18">
    <cfRule type="expression" dxfId="29" priority="103">
      <formula>$N$95="BD"</formula>
    </cfRule>
    <cfRule type="expression" dxfId="28" priority="104">
      <formula>$N$95="UD"</formula>
    </cfRule>
  </conditionalFormatting>
  <conditionalFormatting sqref="Y21">
    <cfRule type="expression" dxfId="27" priority="23">
      <formula>$N$107="BD"</formula>
    </cfRule>
    <cfRule type="expression" dxfId="26" priority="24">
      <formula>$N$107="UD"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196247-97C6-4251-B6C5-8E9DD1C2D260}">
  <sheetPr codeName="Sheet2"/>
  <dimension ref="A1:N139"/>
  <sheetViews>
    <sheetView zoomScale="70" zoomScaleNormal="70" workbookViewId="0">
      <selection activeCell="A6" sqref="A6"/>
    </sheetView>
  </sheetViews>
  <sheetFormatPr defaultRowHeight="15" x14ac:dyDescent="0.25"/>
  <cols>
    <col min="2" max="2" width="9.42578125" bestFit="1" customWidth="1"/>
    <col min="14" max="14" width="0" style="65" hidden="1" customWidth="1"/>
  </cols>
  <sheetData>
    <row r="1" spans="1:14" x14ac:dyDescent="0.25">
      <c r="A1" s="38">
        <f>A3*3</f>
        <v>5.2800000000000011</v>
      </c>
      <c r="B1" s="39" t="s">
        <v>37</v>
      </c>
    </row>
    <row r="2" spans="1:14" x14ac:dyDescent="0.25">
      <c r="A2" s="38">
        <f>A3*2</f>
        <v>3.5200000000000005</v>
      </c>
      <c r="B2" s="39" t="s">
        <v>38</v>
      </c>
    </row>
    <row r="3" spans="1:14" x14ac:dyDescent="0.25">
      <c r="A3" s="38">
        <f>1.6*1.1</f>
        <v>1.7600000000000002</v>
      </c>
      <c r="B3" s="39" t="s">
        <v>39</v>
      </c>
    </row>
    <row r="5" spans="1:14" ht="15.75" thickBot="1" x14ac:dyDescent="0.3">
      <c r="M5" s="65"/>
      <c r="N5"/>
    </row>
    <row r="6" spans="1:14" ht="15.75" x14ac:dyDescent="0.25">
      <c r="D6" s="66" t="s">
        <v>17</v>
      </c>
      <c r="E6" s="67">
        <f>W!$K$53</f>
        <v>0</v>
      </c>
      <c r="F6" s="67">
        <f>W!$K$54</f>
        <v>0</v>
      </c>
      <c r="G6" s="67">
        <f>W!$K$55</f>
        <v>0</v>
      </c>
      <c r="H6" s="67">
        <f>W!$K$56</f>
        <v>0</v>
      </c>
      <c r="J6" s="66"/>
      <c r="M6" s="68"/>
      <c r="N6"/>
    </row>
    <row r="7" spans="1:14" ht="15.75" x14ac:dyDescent="0.25">
      <c r="D7" s="66"/>
      <c r="E7" s="84">
        <v>1</v>
      </c>
      <c r="F7" s="84">
        <f t="shared" ref="F7:H7" si="0">E7+1</f>
        <v>2</v>
      </c>
      <c r="G7" s="84">
        <f t="shared" si="0"/>
        <v>3</v>
      </c>
      <c r="H7" s="84">
        <f t="shared" si="0"/>
        <v>4</v>
      </c>
      <c r="J7" s="66"/>
      <c r="M7" s="68"/>
      <c r="N7"/>
    </row>
    <row r="8" spans="1:14" ht="16.5" thickBot="1" x14ac:dyDescent="0.3">
      <c r="D8" s="66" t="s">
        <v>18</v>
      </c>
      <c r="E8" s="69">
        <f>W!$L$53</f>
        <v>0</v>
      </c>
      <c r="F8" s="69">
        <f>W!$L$54</f>
        <v>0</v>
      </c>
      <c r="G8" s="69">
        <f>W!$L$55</f>
        <v>0</v>
      </c>
      <c r="H8" s="69">
        <f>W!$L$56</f>
        <v>0</v>
      </c>
      <c r="J8" s="66"/>
      <c r="M8" s="68"/>
      <c r="N8"/>
    </row>
    <row r="9" spans="1:14" ht="15.75" x14ac:dyDescent="0.25">
      <c r="C9" s="67">
        <f>W!$K$58</f>
        <v>0</v>
      </c>
      <c r="D9" s="67">
        <f>W!$K$59</f>
        <v>0</v>
      </c>
      <c r="E9" s="67">
        <f>W!$K$60</f>
        <v>0</v>
      </c>
      <c r="F9" s="67">
        <f>W!$K$61</f>
        <v>0</v>
      </c>
      <c r="G9" s="67">
        <f>W!$K$62</f>
        <v>0</v>
      </c>
      <c r="H9" s="67">
        <f>W!$K$63</f>
        <v>0</v>
      </c>
      <c r="I9" s="67">
        <f>W!$K$64</f>
        <v>0</v>
      </c>
      <c r="J9" s="67">
        <f>W!$K$65</f>
        <v>0</v>
      </c>
      <c r="M9" s="68"/>
      <c r="N9"/>
    </row>
    <row r="10" spans="1:14" x14ac:dyDescent="0.25">
      <c r="C10" s="84">
        <f>H7+1</f>
        <v>5</v>
      </c>
      <c r="D10" s="84">
        <f>C10+1</f>
        <v>6</v>
      </c>
      <c r="E10" s="84">
        <f t="shared" ref="E10:J10" si="1">D10+1</f>
        <v>7</v>
      </c>
      <c r="F10" s="84">
        <f t="shared" si="1"/>
        <v>8</v>
      </c>
      <c r="G10" s="84">
        <f t="shared" si="1"/>
        <v>9</v>
      </c>
      <c r="H10" s="84">
        <f t="shared" si="1"/>
        <v>10</v>
      </c>
      <c r="I10" s="84">
        <f t="shared" si="1"/>
        <v>11</v>
      </c>
      <c r="J10" s="84">
        <f t="shared" si="1"/>
        <v>12</v>
      </c>
      <c r="N10" s="68"/>
    </row>
    <row r="11" spans="1:14" ht="16.5" thickBot="1" x14ac:dyDescent="0.3">
      <c r="C11" s="70">
        <f>W!$L$58</f>
        <v>0</v>
      </c>
      <c r="D11" s="70">
        <f>W!$L$59</f>
        <v>0</v>
      </c>
      <c r="E11" s="70">
        <f>W!$L$60</f>
        <v>0</v>
      </c>
      <c r="F11" s="70">
        <f>W!$L$61</f>
        <v>0</v>
      </c>
      <c r="G11" s="70">
        <f>W!$L$62</f>
        <v>0</v>
      </c>
      <c r="H11" s="70">
        <f>W!$L$63</f>
        <v>0</v>
      </c>
      <c r="I11" s="70">
        <f>W!$L$64</f>
        <v>0</v>
      </c>
      <c r="J11" s="70">
        <f>W!$L$65</f>
        <v>0</v>
      </c>
      <c r="N11" s="68"/>
    </row>
    <row r="12" spans="1:14" ht="15.75" x14ac:dyDescent="0.25">
      <c r="B12" s="67">
        <f>W!$K$66</f>
        <v>0</v>
      </c>
      <c r="C12" s="67">
        <f>W!$K$67</f>
        <v>0</v>
      </c>
      <c r="D12" s="67">
        <f>W!$K$68</f>
        <v>0</v>
      </c>
      <c r="E12" s="67">
        <f>W!$K$69</f>
        <v>0</v>
      </c>
      <c r="F12" s="67">
        <f>W!$K$70</f>
        <v>0</v>
      </c>
      <c r="G12" s="67">
        <f>W!$K$71</f>
        <v>0</v>
      </c>
      <c r="H12" s="67">
        <f>W!$K$72</f>
        <v>0</v>
      </c>
      <c r="I12" s="67">
        <f>W!$K$73</f>
        <v>0</v>
      </c>
      <c r="J12" s="67">
        <f>W!$K$74</f>
        <v>0</v>
      </c>
      <c r="K12" s="67">
        <f>W!$K$75</f>
        <v>0</v>
      </c>
      <c r="N12" s="68"/>
    </row>
    <row r="13" spans="1:14" x14ac:dyDescent="0.25">
      <c r="B13" s="84">
        <f>J10+1</f>
        <v>13</v>
      </c>
      <c r="C13" s="84">
        <f>B13+1</f>
        <v>14</v>
      </c>
      <c r="D13" s="84">
        <f>C13+1</f>
        <v>15</v>
      </c>
      <c r="E13" s="84">
        <f t="shared" ref="E13:K13" si="2">D13+1</f>
        <v>16</v>
      </c>
      <c r="F13" s="84">
        <f t="shared" si="2"/>
        <v>17</v>
      </c>
      <c r="G13" s="84">
        <f t="shared" si="2"/>
        <v>18</v>
      </c>
      <c r="H13" s="84">
        <f t="shared" si="2"/>
        <v>19</v>
      </c>
      <c r="I13" s="84">
        <f t="shared" si="2"/>
        <v>20</v>
      </c>
      <c r="J13" s="84">
        <f t="shared" si="2"/>
        <v>21</v>
      </c>
      <c r="K13" s="84">
        <f t="shared" si="2"/>
        <v>22</v>
      </c>
      <c r="N13" s="68"/>
    </row>
    <row r="14" spans="1:14" ht="16.5" thickBot="1" x14ac:dyDescent="0.3">
      <c r="B14" s="69">
        <f>W!$L$66</f>
        <v>0</v>
      </c>
      <c r="C14" s="69">
        <f>W!$L$67</f>
        <v>0</v>
      </c>
      <c r="D14" s="69">
        <f>W!$L$68</f>
        <v>0</v>
      </c>
      <c r="E14" s="69">
        <f>W!$L$69</f>
        <v>0</v>
      </c>
      <c r="F14" s="69">
        <f>W!$L$70</f>
        <v>0</v>
      </c>
      <c r="G14" s="69">
        <f>W!$L$71</f>
        <v>0</v>
      </c>
      <c r="H14" s="69">
        <f>W!$L$72</f>
        <v>0</v>
      </c>
      <c r="I14" s="69">
        <f>W!$L$73</f>
        <v>0</v>
      </c>
      <c r="J14" s="69">
        <f>W!$L$74</f>
        <v>0</v>
      </c>
      <c r="K14" s="69">
        <f>W!$L$75</f>
        <v>0</v>
      </c>
      <c r="N14" s="68"/>
    </row>
    <row r="15" spans="1:14" ht="15.75" x14ac:dyDescent="0.25">
      <c r="B15" s="71">
        <f>W!$K$76</f>
        <v>0</v>
      </c>
      <c r="C15" s="71">
        <f>W!$K$77</f>
        <v>0</v>
      </c>
      <c r="D15" s="71">
        <f>W!$K$78</f>
        <v>0</v>
      </c>
      <c r="E15" s="71">
        <f>W!$K$79</f>
        <v>0</v>
      </c>
      <c r="F15" s="71">
        <f>W!$K$80</f>
        <v>0</v>
      </c>
      <c r="G15" s="71">
        <f>W!$K$81</f>
        <v>0</v>
      </c>
      <c r="H15" s="71">
        <f>W!$K$82</f>
        <v>0</v>
      </c>
      <c r="I15" s="71">
        <f>W!$K$83</f>
        <v>0</v>
      </c>
      <c r="J15" s="71">
        <f>W!$K$84</f>
        <v>0</v>
      </c>
      <c r="K15" s="71">
        <f>W!$K$85</f>
        <v>0</v>
      </c>
      <c r="N15" s="72"/>
    </row>
    <row r="16" spans="1:14" x14ac:dyDescent="0.25">
      <c r="B16" s="84">
        <f>K13+1</f>
        <v>23</v>
      </c>
      <c r="C16" s="84">
        <f>B16+1</f>
        <v>24</v>
      </c>
      <c r="D16" s="84">
        <f>C16+1</f>
        <v>25</v>
      </c>
      <c r="E16" s="84">
        <f t="shared" ref="E16:K16" si="3">D16+1</f>
        <v>26</v>
      </c>
      <c r="F16" s="84">
        <f t="shared" si="3"/>
        <v>27</v>
      </c>
      <c r="G16" s="84">
        <f t="shared" si="3"/>
        <v>28</v>
      </c>
      <c r="H16" s="84">
        <f t="shared" si="3"/>
        <v>29</v>
      </c>
      <c r="I16" s="84">
        <f t="shared" si="3"/>
        <v>30</v>
      </c>
      <c r="J16" s="84">
        <f t="shared" si="3"/>
        <v>31</v>
      </c>
      <c r="K16" s="84">
        <f t="shared" si="3"/>
        <v>32</v>
      </c>
      <c r="N16" s="72"/>
    </row>
    <row r="17" spans="1:14" ht="16.5" thickBot="1" x14ac:dyDescent="0.3">
      <c r="B17" s="70">
        <f>W!$L$76</f>
        <v>0</v>
      </c>
      <c r="C17" s="70">
        <f>W!$L$77</f>
        <v>0</v>
      </c>
      <c r="D17" s="70">
        <f>W!$L$78</f>
        <v>0</v>
      </c>
      <c r="E17" s="73">
        <f>W!$L$79</f>
        <v>0</v>
      </c>
      <c r="F17" s="70">
        <f>W!$L$80</f>
        <v>0</v>
      </c>
      <c r="G17" s="70">
        <f>W!$L$81</f>
        <v>0</v>
      </c>
      <c r="H17" s="74">
        <f>W!$L$82</f>
        <v>0</v>
      </c>
      <c r="I17" s="70">
        <f>W!$L$83</f>
        <v>0</v>
      </c>
      <c r="J17" s="70">
        <f>W!$L$84</f>
        <v>0</v>
      </c>
      <c r="K17" s="70">
        <f>W!$L$85</f>
        <v>0</v>
      </c>
      <c r="N17" s="72"/>
    </row>
    <row r="18" spans="1:14" ht="15.75" x14ac:dyDescent="0.25">
      <c r="A18" s="67">
        <f>W!$K$52</f>
        <v>0</v>
      </c>
      <c r="B18" s="67">
        <f>W!$K$86</f>
        <v>0</v>
      </c>
      <c r="C18" s="67">
        <f>W!$K$87</f>
        <v>0</v>
      </c>
      <c r="D18" s="67">
        <f>W!$K$88</f>
        <v>0</v>
      </c>
      <c r="E18" s="67">
        <f>W!$K$89</f>
        <v>0</v>
      </c>
      <c r="F18" s="67">
        <f>W!$K$90</f>
        <v>0</v>
      </c>
      <c r="G18" s="67">
        <f>W!$K$91</f>
        <v>0</v>
      </c>
      <c r="H18" s="67">
        <f>W!$K$92</f>
        <v>0</v>
      </c>
      <c r="I18" s="67">
        <f>W!$K$93</f>
        <v>0</v>
      </c>
      <c r="J18" s="67">
        <f>W!$K$94</f>
        <v>0</v>
      </c>
      <c r="K18" s="67">
        <f>W!$K$95</f>
        <v>0</v>
      </c>
      <c r="L18" s="67">
        <f>W!$K$57</f>
        <v>0</v>
      </c>
      <c r="N18" s="72"/>
    </row>
    <row r="19" spans="1:14" x14ac:dyDescent="0.25">
      <c r="A19" s="84">
        <f>K16+1</f>
        <v>33</v>
      </c>
      <c r="B19" s="84">
        <f>A19+1</f>
        <v>34</v>
      </c>
      <c r="C19" s="84">
        <f>B19+1</f>
        <v>35</v>
      </c>
      <c r="D19" s="84">
        <f>C19+1</f>
        <v>36</v>
      </c>
      <c r="E19" s="84">
        <f t="shared" ref="E19:L19" si="4">D19+1</f>
        <v>37</v>
      </c>
      <c r="F19" s="84">
        <f t="shared" si="4"/>
        <v>38</v>
      </c>
      <c r="G19" s="84">
        <f t="shared" si="4"/>
        <v>39</v>
      </c>
      <c r="H19" s="84">
        <f t="shared" si="4"/>
        <v>40</v>
      </c>
      <c r="I19" s="84">
        <f t="shared" si="4"/>
        <v>41</v>
      </c>
      <c r="J19" s="84">
        <f t="shared" si="4"/>
        <v>42</v>
      </c>
      <c r="K19" s="84">
        <f t="shared" si="4"/>
        <v>43</v>
      </c>
      <c r="L19" s="84">
        <f t="shared" si="4"/>
        <v>44</v>
      </c>
      <c r="N19" s="72"/>
    </row>
    <row r="20" spans="1:14" ht="16.5" thickBot="1" x14ac:dyDescent="0.3">
      <c r="A20" s="69">
        <f>W!$L$52</f>
        <v>0</v>
      </c>
      <c r="B20" s="69">
        <f>W!$L$86</f>
        <v>0</v>
      </c>
      <c r="C20" s="70">
        <f>W!$L$87</f>
        <v>0</v>
      </c>
      <c r="D20" s="70">
        <f>W!$L$88</f>
        <v>0</v>
      </c>
      <c r="E20" s="73">
        <f>W!$L$89</f>
        <v>0</v>
      </c>
      <c r="F20" s="70">
        <f>W!$L$90</f>
        <v>0</v>
      </c>
      <c r="G20" s="70">
        <f>W!$L$91</f>
        <v>0</v>
      </c>
      <c r="H20" s="74">
        <f>W!$L$92</f>
        <v>0</v>
      </c>
      <c r="I20" s="70">
        <f>W!$L$93</f>
        <v>0</v>
      </c>
      <c r="J20" s="70">
        <f>W!$L$94</f>
        <v>0</v>
      </c>
      <c r="K20" s="69">
        <f>W!$L$95</f>
        <v>0</v>
      </c>
      <c r="L20" s="69">
        <f>W!$L$57</f>
        <v>0</v>
      </c>
      <c r="N20" s="72"/>
    </row>
    <row r="21" spans="1:14" ht="15.75" x14ac:dyDescent="0.25">
      <c r="A21" s="67">
        <f>W!$K$134</f>
        <v>0</v>
      </c>
      <c r="B21" s="67">
        <f>W!$K$96</f>
        <v>0</v>
      </c>
      <c r="C21" s="67">
        <f>W!$K$97</f>
        <v>0</v>
      </c>
      <c r="D21" s="67">
        <f>W!$K$98</f>
        <v>0</v>
      </c>
      <c r="E21" s="67">
        <f>W!$K$99</f>
        <v>0</v>
      </c>
      <c r="F21" s="67">
        <f>W!$K$100</f>
        <v>0</v>
      </c>
      <c r="G21" s="67">
        <f>W!$K$101</f>
        <v>0</v>
      </c>
      <c r="H21" s="67">
        <f>W!$K$102</f>
        <v>0</v>
      </c>
      <c r="I21" s="67">
        <f>W!$K$103</f>
        <v>0</v>
      </c>
      <c r="J21" s="67">
        <f>W!$K$104</f>
        <v>0</v>
      </c>
      <c r="K21" s="67">
        <f>W!$K$105</f>
        <v>0</v>
      </c>
      <c r="L21" s="67">
        <f>W!$K$139</f>
        <v>0</v>
      </c>
      <c r="N21" s="72"/>
    </row>
    <row r="22" spans="1:14" x14ac:dyDescent="0.25">
      <c r="A22" s="84">
        <f>L19+1</f>
        <v>45</v>
      </c>
      <c r="B22" s="84">
        <f>A22+1</f>
        <v>46</v>
      </c>
      <c r="C22" s="84">
        <f>B22+1</f>
        <v>47</v>
      </c>
      <c r="D22" s="84">
        <f>C22+1</f>
        <v>48</v>
      </c>
      <c r="E22" s="84">
        <f t="shared" ref="E22:K22" si="5">D22+1</f>
        <v>49</v>
      </c>
      <c r="F22" s="84">
        <f t="shared" si="5"/>
        <v>50</v>
      </c>
      <c r="G22" s="84">
        <f t="shared" si="5"/>
        <v>51</v>
      </c>
      <c r="H22" s="84">
        <f t="shared" si="5"/>
        <v>52</v>
      </c>
      <c r="I22" s="84">
        <f t="shared" si="5"/>
        <v>53</v>
      </c>
      <c r="J22" s="84">
        <f t="shared" si="5"/>
        <v>54</v>
      </c>
      <c r="K22" s="84">
        <f t="shared" si="5"/>
        <v>55</v>
      </c>
      <c r="L22" s="84">
        <v>54</v>
      </c>
      <c r="N22" s="72"/>
    </row>
    <row r="23" spans="1:14" ht="16.5" thickBot="1" x14ac:dyDescent="0.3">
      <c r="A23" s="69">
        <f>W!$L$134</f>
        <v>0</v>
      </c>
      <c r="B23" s="70">
        <f>W!$L$96</f>
        <v>0</v>
      </c>
      <c r="C23" s="70">
        <f>W!$L$97</f>
        <v>0</v>
      </c>
      <c r="D23" s="70">
        <f>W!$L$98</f>
        <v>0</v>
      </c>
      <c r="E23" s="73">
        <f>W!$L$99</f>
        <v>0</v>
      </c>
      <c r="F23" s="70">
        <f>W!$L$100</f>
        <v>0</v>
      </c>
      <c r="G23" s="70">
        <f>W!$L$101</f>
        <v>0</v>
      </c>
      <c r="H23" s="74">
        <f>W!$L$102</f>
        <v>0</v>
      </c>
      <c r="I23" s="70">
        <f>W!$L$103</f>
        <v>0</v>
      </c>
      <c r="J23" s="70">
        <f>W!$L$104</f>
        <v>0</v>
      </c>
      <c r="K23" s="70">
        <f>W!$L$105</f>
        <v>0</v>
      </c>
      <c r="L23" s="69">
        <f>W!$L$139</f>
        <v>0</v>
      </c>
      <c r="N23" s="72"/>
    </row>
    <row r="24" spans="1:14" ht="15.75" x14ac:dyDescent="0.25">
      <c r="B24" s="67">
        <f>W!$K$106</f>
        <v>0</v>
      </c>
      <c r="C24" s="67">
        <f>W!$K$107</f>
        <v>0</v>
      </c>
      <c r="D24" s="67">
        <f>W!$K$108</f>
        <v>0</v>
      </c>
      <c r="E24" s="67">
        <f>W!$K$109</f>
        <v>0</v>
      </c>
      <c r="F24" s="67">
        <f>W!$K$110</f>
        <v>0</v>
      </c>
      <c r="G24" s="67">
        <f>W!$K$111</f>
        <v>0</v>
      </c>
      <c r="H24" s="67">
        <f>W!$K$112</f>
        <v>0</v>
      </c>
      <c r="I24" s="67">
        <f>W!$K$113</f>
        <v>0</v>
      </c>
      <c r="J24" s="67">
        <f>W!$K$114</f>
        <v>0</v>
      </c>
      <c r="K24" s="67">
        <f>W!$K$115</f>
        <v>0</v>
      </c>
      <c r="N24" s="72"/>
    </row>
    <row r="25" spans="1:14" x14ac:dyDescent="0.25">
      <c r="B25" s="84">
        <f>L22+1</f>
        <v>55</v>
      </c>
      <c r="C25" s="84">
        <f>B25+1</f>
        <v>56</v>
      </c>
      <c r="D25" s="84">
        <f>C25+1</f>
        <v>57</v>
      </c>
      <c r="E25" s="84">
        <f t="shared" ref="E25:K25" si="6">D25+1</f>
        <v>58</v>
      </c>
      <c r="F25" s="84">
        <f t="shared" si="6"/>
        <v>59</v>
      </c>
      <c r="G25" s="84">
        <f t="shared" si="6"/>
        <v>60</v>
      </c>
      <c r="H25" s="84">
        <f t="shared" si="6"/>
        <v>61</v>
      </c>
      <c r="I25" s="84">
        <f t="shared" si="6"/>
        <v>62</v>
      </c>
      <c r="J25" s="84">
        <f t="shared" si="6"/>
        <v>63</v>
      </c>
      <c r="K25" s="84">
        <f t="shared" si="6"/>
        <v>64</v>
      </c>
      <c r="N25" s="72"/>
    </row>
    <row r="26" spans="1:14" ht="16.5" thickBot="1" x14ac:dyDescent="0.3">
      <c r="B26" s="70">
        <f>W!$L$106</f>
        <v>0</v>
      </c>
      <c r="C26" s="70">
        <f>W!$L$107</f>
        <v>0</v>
      </c>
      <c r="D26" s="70">
        <f>W!$L$108</f>
        <v>0</v>
      </c>
      <c r="E26" s="73">
        <f>W!$L$109</f>
        <v>0</v>
      </c>
      <c r="F26" s="70">
        <f>W!$L$110</f>
        <v>0</v>
      </c>
      <c r="G26" s="70">
        <f>W!$L$111</f>
        <v>0</v>
      </c>
      <c r="H26" s="74">
        <f>W!$L$112</f>
        <v>0</v>
      </c>
      <c r="I26" s="70">
        <f>W!$L$113</f>
        <v>0</v>
      </c>
      <c r="J26" s="70">
        <f>W!$L$114</f>
        <v>0</v>
      </c>
      <c r="K26" s="70">
        <f>W!$L$115</f>
        <v>0</v>
      </c>
      <c r="N26" s="72"/>
    </row>
    <row r="27" spans="1:14" ht="15.75" x14ac:dyDescent="0.25">
      <c r="B27" s="67">
        <f>W!$K$116</f>
        <v>0</v>
      </c>
      <c r="C27" s="67">
        <f>W!$K$117</f>
        <v>0</v>
      </c>
      <c r="D27" s="67">
        <f>W!$K$118</f>
        <v>0</v>
      </c>
      <c r="E27" s="67">
        <f>W!$K$119</f>
        <v>0</v>
      </c>
      <c r="F27" s="67">
        <f>W!$K$120</f>
        <v>0</v>
      </c>
      <c r="G27" s="67">
        <f>W!$K$121</f>
        <v>0</v>
      </c>
      <c r="H27" s="67">
        <f>W!$K$122</f>
        <v>0</v>
      </c>
      <c r="I27" s="67">
        <f>W!$K$123</f>
        <v>0</v>
      </c>
      <c r="J27" s="67">
        <f>W!$K$124</f>
        <v>0</v>
      </c>
      <c r="K27" s="67">
        <f>W!$K$125</f>
        <v>0</v>
      </c>
      <c r="N27" s="68"/>
    </row>
    <row r="28" spans="1:14" x14ac:dyDescent="0.25">
      <c r="B28" s="84">
        <f>K25+1</f>
        <v>65</v>
      </c>
      <c r="C28" s="84">
        <f>B28+1</f>
        <v>66</v>
      </c>
      <c r="D28" s="84">
        <f>C28+1</f>
        <v>67</v>
      </c>
      <c r="E28" s="84">
        <f t="shared" ref="E28:K28" si="7">D28+1</f>
        <v>68</v>
      </c>
      <c r="F28" s="84">
        <f t="shared" si="7"/>
        <v>69</v>
      </c>
      <c r="G28" s="84">
        <f t="shared" si="7"/>
        <v>70</v>
      </c>
      <c r="H28" s="84">
        <f t="shared" si="7"/>
        <v>71</v>
      </c>
      <c r="I28" s="84">
        <f t="shared" si="7"/>
        <v>72</v>
      </c>
      <c r="J28" s="84">
        <f t="shared" si="7"/>
        <v>73</v>
      </c>
      <c r="K28" s="84">
        <f t="shared" si="7"/>
        <v>74</v>
      </c>
      <c r="N28" s="68"/>
    </row>
    <row r="29" spans="1:14" ht="16.5" thickBot="1" x14ac:dyDescent="0.3">
      <c r="B29" s="69">
        <f>W!$L$116</f>
        <v>0</v>
      </c>
      <c r="C29" s="69">
        <f>W!$L$117</f>
        <v>0</v>
      </c>
      <c r="D29" s="69">
        <f>W!$L$118</f>
        <v>0</v>
      </c>
      <c r="E29" s="75">
        <f>W!$L$119</f>
        <v>0</v>
      </c>
      <c r="F29" s="69">
        <f>W!$L$120</f>
        <v>0</v>
      </c>
      <c r="G29" s="69">
        <f>W!$L$121</f>
        <v>0</v>
      </c>
      <c r="H29" s="76">
        <f>W!$L$122</f>
        <v>0</v>
      </c>
      <c r="I29" s="69">
        <f>W!$L$123</f>
        <v>0</v>
      </c>
      <c r="J29" s="69">
        <f>W!$L$124</f>
        <v>0</v>
      </c>
      <c r="K29" s="69">
        <f>W!$L$125</f>
        <v>0</v>
      </c>
      <c r="N29" s="68"/>
    </row>
    <row r="30" spans="1:14" ht="15.75" x14ac:dyDescent="0.25">
      <c r="B30" s="66"/>
      <c r="C30" s="67">
        <f>W!$K$126</f>
        <v>0</v>
      </c>
      <c r="D30" s="67">
        <f>W!$K$127</f>
        <v>0</v>
      </c>
      <c r="E30" s="67">
        <f>W!$K$128</f>
        <v>0</v>
      </c>
      <c r="F30" s="67">
        <f>W!$K$129</f>
        <v>0</v>
      </c>
      <c r="G30" s="67">
        <f>W!$K$130</f>
        <v>0</v>
      </c>
      <c r="H30" s="67">
        <f>W!$K$131</f>
        <v>0</v>
      </c>
      <c r="I30" s="67">
        <f>W!$K$132</f>
        <v>0</v>
      </c>
      <c r="J30" s="67">
        <f>W!$K$133</f>
        <v>0</v>
      </c>
      <c r="K30" s="66"/>
      <c r="N30" s="68"/>
    </row>
    <row r="31" spans="1:14" ht="15.75" x14ac:dyDescent="0.25">
      <c r="B31" s="66"/>
      <c r="C31" s="84">
        <f>K28+1</f>
        <v>75</v>
      </c>
      <c r="D31" s="84">
        <f>C31+1</f>
        <v>76</v>
      </c>
      <c r="E31" s="84">
        <f t="shared" ref="E31:J31" si="8">D31+1</f>
        <v>77</v>
      </c>
      <c r="F31" s="84">
        <f t="shared" si="8"/>
        <v>78</v>
      </c>
      <c r="G31" s="84">
        <f t="shared" si="8"/>
        <v>79</v>
      </c>
      <c r="H31" s="84">
        <f t="shared" si="8"/>
        <v>80</v>
      </c>
      <c r="I31" s="84">
        <f t="shared" si="8"/>
        <v>81</v>
      </c>
      <c r="J31" s="84">
        <f t="shared" si="8"/>
        <v>82</v>
      </c>
      <c r="K31" s="66"/>
      <c r="N31" s="68"/>
    </row>
    <row r="32" spans="1:14" ht="16.5" thickBot="1" x14ac:dyDescent="0.3">
      <c r="B32" s="66"/>
      <c r="C32" s="69">
        <f>W!$L$126</f>
        <v>0</v>
      </c>
      <c r="D32" s="70">
        <f>W!$L$127</f>
        <v>0</v>
      </c>
      <c r="E32" s="73">
        <f>W!$L$128</f>
        <v>0</v>
      </c>
      <c r="F32" s="70">
        <f>W!$L$129</f>
        <v>0</v>
      </c>
      <c r="G32" s="70">
        <f>W!$L$130</f>
        <v>0</v>
      </c>
      <c r="H32" s="74">
        <f>W!$L$131</f>
        <v>0</v>
      </c>
      <c r="I32" s="70">
        <f>W!$L$132</f>
        <v>0</v>
      </c>
      <c r="J32" s="69">
        <f>W!$L$133</f>
        <v>0</v>
      </c>
      <c r="K32" s="66"/>
      <c r="N32" s="68"/>
    </row>
    <row r="33" spans="1:14" ht="15.75" x14ac:dyDescent="0.25">
      <c r="B33" s="66"/>
      <c r="C33" s="66"/>
      <c r="E33" s="67">
        <f>W!$K$135</f>
        <v>0</v>
      </c>
      <c r="F33" s="67">
        <f>W!$K$136</f>
        <v>0</v>
      </c>
      <c r="G33" s="67">
        <f>W!$K$137</f>
        <v>0</v>
      </c>
      <c r="H33" s="67">
        <f>W!$K$138</f>
        <v>0</v>
      </c>
      <c r="J33" s="66"/>
      <c r="K33" s="66"/>
      <c r="N33" s="68"/>
    </row>
    <row r="34" spans="1:14" ht="15.75" x14ac:dyDescent="0.25">
      <c r="B34" s="66"/>
      <c r="C34" s="66"/>
      <c r="E34" s="84">
        <f>J31+1</f>
        <v>83</v>
      </c>
      <c r="F34" s="84">
        <f t="shared" ref="F34:H34" si="9">E34+1</f>
        <v>84</v>
      </c>
      <c r="G34" s="84">
        <f t="shared" si="9"/>
        <v>85</v>
      </c>
      <c r="H34" s="84">
        <f t="shared" si="9"/>
        <v>86</v>
      </c>
      <c r="J34" s="66"/>
      <c r="K34" s="66"/>
      <c r="N34" s="68"/>
    </row>
    <row r="35" spans="1:14" ht="16.5" thickBot="1" x14ac:dyDescent="0.3">
      <c r="B35" s="66"/>
      <c r="C35" s="66"/>
      <c r="E35" s="75">
        <f>W!$L$135</f>
        <v>0</v>
      </c>
      <c r="F35" s="69">
        <f>W!$L$136</f>
        <v>0</v>
      </c>
      <c r="G35" s="69">
        <f>W!$L$137</f>
        <v>0</v>
      </c>
      <c r="H35" s="76">
        <f>W!$L$138</f>
        <v>0</v>
      </c>
      <c r="J35" s="66"/>
      <c r="K35" s="66"/>
      <c r="N35" s="68"/>
    </row>
    <row r="36" spans="1:14" ht="14.45" customHeight="1" x14ac:dyDescent="0.25">
      <c r="D36" s="77"/>
      <c r="E36" s="112" t="s">
        <v>40</v>
      </c>
      <c r="F36" s="112"/>
      <c r="G36" s="112"/>
      <c r="H36" s="112"/>
      <c r="I36" s="77"/>
      <c r="J36" s="6"/>
      <c r="K36" s="6"/>
      <c r="N36" s="68"/>
    </row>
    <row r="37" spans="1:14" ht="14.45" customHeight="1" x14ac:dyDescent="0.25">
      <c r="D37" s="77"/>
      <c r="E37" s="113"/>
      <c r="F37" s="113"/>
      <c r="G37" s="113"/>
      <c r="H37" s="113"/>
      <c r="I37" s="77"/>
      <c r="J37" s="6"/>
      <c r="K37" s="6"/>
      <c r="N37" s="68"/>
    </row>
    <row r="39" spans="1:14" x14ac:dyDescent="0.25">
      <c r="A39" s="78" t="s">
        <v>41</v>
      </c>
      <c r="B39" s="79" t="str">
        <f>IF(OR(W!C43&lt;&gt;"",W!C44&lt;&gt;""),MAX(D6:I6,D8:I8,C9:J9,C11:J11,B12:K12,B14:K14,B15:K15,B17:K17,B18:K18,B20:K20,B21:K21,B23:K23,B24:K24,B26:K26,B27:K27,B29:K29,C30:J30,C32:J32,D33:I33,D35:I35),"")</f>
        <v/>
      </c>
    </row>
    <row r="40" spans="1:14" x14ac:dyDescent="0.25">
      <c r="A40" s="80" t="s">
        <v>42</v>
      </c>
      <c r="B40" s="81" t="str">
        <f>IF(OR(W!C43&lt;&gt;"",W!C44&lt;&gt;""),MIN(D6:I6,D8:I8,C9:J9,C11:J11,B12:K12,B14:K14,B15:K15,B17:K17,B18:K18,B20:K20,B21:K21,B23:K23,B24:K24,B26:K26,B27:K27,B29:K29,C30:J30,C32:J32,D33:I33,D35:I35),"")</f>
        <v/>
      </c>
    </row>
    <row r="41" spans="1:14" x14ac:dyDescent="0.25">
      <c r="A41" s="82" t="s">
        <v>43</v>
      </c>
      <c r="B41" s="83" t="str">
        <f>IF(OR(W!C43&lt;&gt;"",W!C44&lt;&gt;""),W!C43,"")</f>
        <v/>
      </c>
    </row>
    <row r="42" spans="1:14" x14ac:dyDescent="0.25">
      <c r="A42" s="80" t="s">
        <v>44</v>
      </c>
      <c r="B42" s="81" t="str">
        <f>IF(OR(W!C43&lt;&gt;"",W!C44&lt;&gt;""),W!C44,"")</f>
        <v/>
      </c>
    </row>
    <row r="43" spans="1:14" x14ac:dyDescent="0.25">
      <c r="A43" s="82" t="s">
        <v>45</v>
      </c>
      <c r="B43" s="83" t="str">
        <f>IF(OR(W!C43&lt;&gt;"",W!C44&lt;&gt;""),_xlfn.STDEV.S(D6:I6,C9:J9,B12:K12,B15:K15,B18:K18,B21:K21,B24:K24,B27:K27,C30:J30,D33:I33),"")</f>
        <v/>
      </c>
    </row>
    <row r="44" spans="1:14" x14ac:dyDescent="0.25">
      <c r="A44" s="80" t="s">
        <v>46</v>
      </c>
      <c r="B44" s="81" t="str">
        <f>IF(OR(W!C43&lt;&gt;"",W!C44&lt;&gt;""),_xlfn.STDEV.S(D8:I8,C11:J11,B14:K14,B17:K17,B20:K20,B23:K23,B26:K26,B29:K29,C32:J32,D35:I35),"")</f>
        <v/>
      </c>
    </row>
    <row r="51" spans="14:14" hidden="1" x14ac:dyDescent="0.25">
      <c r="N51" s="65" t="str">
        <f ca="1">W!N52</f>
        <v/>
      </c>
    </row>
    <row r="52" spans="14:14" hidden="1" x14ac:dyDescent="0.25">
      <c r="N52" s="65" t="str">
        <f ca="1">W!N53</f>
        <v/>
      </c>
    </row>
    <row r="53" spans="14:14" hidden="1" x14ac:dyDescent="0.25">
      <c r="N53" s="65" t="str">
        <f ca="1">W!N54</f>
        <v/>
      </c>
    </row>
    <row r="54" spans="14:14" hidden="1" x14ac:dyDescent="0.25">
      <c r="N54" s="65" t="str">
        <f ca="1">W!N55</f>
        <v/>
      </c>
    </row>
    <row r="55" spans="14:14" hidden="1" x14ac:dyDescent="0.25">
      <c r="N55" s="65" t="str">
        <f ca="1">W!N56</f>
        <v/>
      </c>
    </row>
    <row r="56" spans="14:14" hidden="1" x14ac:dyDescent="0.25">
      <c r="N56" s="65" t="str">
        <f ca="1">W!N57</f>
        <v/>
      </c>
    </row>
    <row r="57" spans="14:14" hidden="1" x14ac:dyDescent="0.25">
      <c r="N57" s="65" t="str">
        <f ca="1">W!N58</f>
        <v/>
      </c>
    </row>
    <row r="58" spans="14:14" hidden="1" x14ac:dyDescent="0.25">
      <c r="N58" s="65" t="str">
        <f ca="1">W!N59</f>
        <v/>
      </c>
    </row>
    <row r="59" spans="14:14" hidden="1" x14ac:dyDescent="0.25">
      <c r="N59" s="65" t="str">
        <f ca="1">W!N60</f>
        <v/>
      </c>
    </row>
    <row r="60" spans="14:14" hidden="1" x14ac:dyDescent="0.25">
      <c r="N60" s="65" t="str">
        <f ca="1">W!N61</f>
        <v/>
      </c>
    </row>
    <row r="61" spans="14:14" hidden="1" x14ac:dyDescent="0.25">
      <c r="N61" s="65" t="str">
        <f ca="1">W!N62</f>
        <v/>
      </c>
    </row>
    <row r="62" spans="14:14" hidden="1" x14ac:dyDescent="0.25">
      <c r="N62" s="65" t="str">
        <f ca="1">W!N63</f>
        <v/>
      </c>
    </row>
    <row r="63" spans="14:14" hidden="1" x14ac:dyDescent="0.25">
      <c r="N63" s="65" t="str">
        <f ca="1">W!N64</f>
        <v/>
      </c>
    </row>
    <row r="64" spans="14:14" hidden="1" x14ac:dyDescent="0.25">
      <c r="N64" s="65" t="str">
        <f ca="1">W!N65</f>
        <v/>
      </c>
    </row>
    <row r="65" spans="14:14" hidden="1" x14ac:dyDescent="0.25">
      <c r="N65" s="65" t="str">
        <f ca="1">W!N66</f>
        <v/>
      </c>
    </row>
    <row r="66" spans="14:14" hidden="1" x14ac:dyDescent="0.25">
      <c r="N66" s="65" t="str">
        <f ca="1">W!N67</f>
        <v/>
      </c>
    </row>
    <row r="67" spans="14:14" hidden="1" x14ac:dyDescent="0.25">
      <c r="N67" s="65" t="str">
        <f ca="1">W!N68</f>
        <v/>
      </c>
    </row>
    <row r="68" spans="14:14" hidden="1" x14ac:dyDescent="0.25">
      <c r="N68" s="65" t="str">
        <f ca="1">W!N69</f>
        <v/>
      </c>
    </row>
    <row r="69" spans="14:14" hidden="1" x14ac:dyDescent="0.25">
      <c r="N69" s="65" t="str">
        <f ca="1">W!N70</f>
        <v/>
      </c>
    </row>
    <row r="70" spans="14:14" hidden="1" x14ac:dyDescent="0.25">
      <c r="N70" s="65" t="str">
        <f ca="1">W!N71</f>
        <v/>
      </c>
    </row>
    <row r="71" spans="14:14" hidden="1" x14ac:dyDescent="0.25">
      <c r="N71" s="65" t="str">
        <f ca="1">W!N72</f>
        <v/>
      </c>
    </row>
    <row r="72" spans="14:14" hidden="1" x14ac:dyDescent="0.25">
      <c r="N72" s="65" t="str">
        <f ca="1">W!N73</f>
        <v/>
      </c>
    </row>
    <row r="73" spans="14:14" hidden="1" x14ac:dyDescent="0.25">
      <c r="N73" s="65" t="str">
        <f ca="1">W!N74</f>
        <v/>
      </c>
    </row>
    <row r="74" spans="14:14" hidden="1" x14ac:dyDescent="0.25">
      <c r="N74" s="65" t="str">
        <f ca="1">W!N75</f>
        <v/>
      </c>
    </row>
    <row r="75" spans="14:14" hidden="1" x14ac:dyDescent="0.25">
      <c r="N75" s="65" t="str">
        <f ca="1">W!N76</f>
        <v/>
      </c>
    </row>
    <row r="76" spans="14:14" hidden="1" x14ac:dyDescent="0.25">
      <c r="N76" s="65" t="str">
        <f ca="1">W!N77</f>
        <v/>
      </c>
    </row>
    <row r="77" spans="14:14" hidden="1" x14ac:dyDescent="0.25">
      <c r="N77" s="65" t="str">
        <f ca="1">W!N78</f>
        <v/>
      </c>
    </row>
    <row r="78" spans="14:14" hidden="1" x14ac:dyDescent="0.25">
      <c r="N78" s="65" t="str">
        <f ca="1">W!N79</f>
        <v/>
      </c>
    </row>
    <row r="79" spans="14:14" hidden="1" x14ac:dyDescent="0.25">
      <c r="N79" s="65" t="str">
        <f ca="1">W!N80</f>
        <v/>
      </c>
    </row>
    <row r="80" spans="14:14" hidden="1" x14ac:dyDescent="0.25">
      <c r="N80" s="65" t="str">
        <f ca="1">W!N81</f>
        <v/>
      </c>
    </row>
    <row r="81" spans="14:14" hidden="1" x14ac:dyDescent="0.25">
      <c r="N81" s="65" t="str">
        <f ca="1">W!N82</f>
        <v/>
      </c>
    </row>
    <row r="82" spans="14:14" hidden="1" x14ac:dyDescent="0.25">
      <c r="N82" s="65" t="str">
        <f ca="1">W!N83</f>
        <v/>
      </c>
    </row>
    <row r="83" spans="14:14" hidden="1" x14ac:dyDescent="0.25">
      <c r="N83" s="65" t="str">
        <f ca="1">W!N84</f>
        <v/>
      </c>
    </row>
    <row r="84" spans="14:14" hidden="1" x14ac:dyDescent="0.25">
      <c r="N84" s="65" t="str">
        <f ca="1">W!N85</f>
        <v/>
      </c>
    </row>
    <row r="85" spans="14:14" hidden="1" x14ac:dyDescent="0.25">
      <c r="N85" s="65" t="str">
        <f ca="1">W!N86</f>
        <v/>
      </c>
    </row>
    <row r="86" spans="14:14" hidden="1" x14ac:dyDescent="0.25">
      <c r="N86" s="65" t="str">
        <f ca="1">W!N87</f>
        <v/>
      </c>
    </row>
    <row r="87" spans="14:14" hidden="1" x14ac:dyDescent="0.25">
      <c r="N87" s="65" t="str">
        <f ca="1">W!N88</f>
        <v/>
      </c>
    </row>
    <row r="88" spans="14:14" hidden="1" x14ac:dyDescent="0.25">
      <c r="N88" s="65" t="str">
        <f ca="1">W!N89</f>
        <v/>
      </c>
    </row>
    <row r="89" spans="14:14" hidden="1" x14ac:dyDescent="0.25">
      <c r="N89" s="65" t="str">
        <f ca="1">W!N90</f>
        <v/>
      </c>
    </row>
    <row r="90" spans="14:14" hidden="1" x14ac:dyDescent="0.25">
      <c r="N90" s="65" t="str">
        <f ca="1">W!N91</f>
        <v/>
      </c>
    </row>
    <row r="91" spans="14:14" hidden="1" x14ac:dyDescent="0.25">
      <c r="N91" s="65" t="str">
        <f ca="1">W!N92</f>
        <v/>
      </c>
    </row>
    <row r="92" spans="14:14" hidden="1" x14ac:dyDescent="0.25">
      <c r="N92" s="65" t="str">
        <f ca="1">W!N93</f>
        <v/>
      </c>
    </row>
    <row r="93" spans="14:14" hidden="1" x14ac:dyDescent="0.25">
      <c r="N93" s="65" t="str">
        <f ca="1">W!N94</f>
        <v/>
      </c>
    </row>
    <row r="94" spans="14:14" hidden="1" x14ac:dyDescent="0.25">
      <c r="N94" s="65" t="str">
        <f ca="1">W!N95</f>
        <v/>
      </c>
    </row>
    <row r="95" spans="14:14" hidden="1" x14ac:dyDescent="0.25">
      <c r="N95" s="65" t="str">
        <f ca="1">W!N96</f>
        <v/>
      </c>
    </row>
    <row r="96" spans="14:14" hidden="1" x14ac:dyDescent="0.25">
      <c r="N96" s="65" t="str">
        <f ca="1">W!N97</f>
        <v/>
      </c>
    </row>
    <row r="97" spans="14:14" hidden="1" x14ac:dyDescent="0.25">
      <c r="N97" s="65" t="str">
        <f ca="1">W!N98</f>
        <v/>
      </c>
    </row>
    <row r="98" spans="14:14" hidden="1" x14ac:dyDescent="0.25">
      <c r="N98" s="65" t="str">
        <f ca="1">W!N99</f>
        <v/>
      </c>
    </row>
    <row r="99" spans="14:14" hidden="1" x14ac:dyDescent="0.25">
      <c r="N99" s="65" t="str">
        <f ca="1">W!N100</f>
        <v/>
      </c>
    </row>
    <row r="100" spans="14:14" hidden="1" x14ac:dyDescent="0.25">
      <c r="N100" s="65" t="str">
        <f ca="1">W!N101</f>
        <v/>
      </c>
    </row>
    <row r="101" spans="14:14" hidden="1" x14ac:dyDescent="0.25">
      <c r="N101" s="65" t="str">
        <f ca="1">W!N102</f>
        <v/>
      </c>
    </row>
    <row r="102" spans="14:14" hidden="1" x14ac:dyDescent="0.25">
      <c r="N102" s="65" t="str">
        <f ca="1">W!N103</f>
        <v/>
      </c>
    </row>
    <row r="103" spans="14:14" hidden="1" x14ac:dyDescent="0.25">
      <c r="N103" s="65" t="str">
        <f ca="1">W!N104</f>
        <v/>
      </c>
    </row>
    <row r="104" spans="14:14" hidden="1" x14ac:dyDescent="0.25">
      <c r="N104" s="65" t="str">
        <f ca="1">W!N105</f>
        <v/>
      </c>
    </row>
    <row r="105" spans="14:14" hidden="1" x14ac:dyDescent="0.25">
      <c r="N105" s="65" t="str">
        <f ca="1">W!N106</f>
        <v/>
      </c>
    </row>
    <row r="106" spans="14:14" hidden="1" x14ac:dyDescent="0.25">
      <c r="N106" s="65" t="str">
        <f ca="1">W!N107</f>
        <v/>
      </c>
    </row>
    <row r="107" spans="14:14" hidden="1" x14ac:dyDescent="0.25">
      <c r="N107" s="65" t="str">
        <f ca="1">W!N108</f>
        <v/>
      </c>
    </row>
    <row r="108" spans="14:14" hidden="1" x14ac:dyDescent="0.25">
      <c r="N108" s="65" t="str">
        <f ca="1">W!N109</f>
        <v/>
      </c>
    </row>
    <row r="109" spans="14:14" hidden="1" x14ac:dyDescent="0.25">
      <c r="N109" s="65" t="str">
        <f ca="1">W!N110</f>
        <v/>
      </c>
    </row>
    <row r="110" spans="14:14" hidden="1" x14ac:dyDescent="0.25">
      <c r="N110" s="65" t="str">
        <f ca="1">W!N111</f>
        <v/>
      </c>
    </row>
    <row r="111" spans="14:14" hidden="1" x14ac:dyDescent="0.25">
      <c r="N111" s="65" t="str">
        <f ca="1">W!N112</f>
        <v/>
      </c>
    </row>
    <row r="112" spans="14:14" hidden="1" x14ac:dyDescent="0.25">
      <c r="N112" s="65" t="str">
        <f ca="1">W!N113</f>
        <v/>
      </c>
    </row>
    <row r="113" spans="14:14" hidden="1" x14ac:dyDescent="0.25">
      <c r="N113" s="65" t="str">
        <f ca="1">W!N114</f>
        <v/>
      </c>
    </row>
    <row r="114" spans="14:14" hidden="1" x14ac:dyDescent="0.25">
      <c r="N114" s="65" t="str">
        <f ca="1">W!N115</f>
        <v/>
      </c>
    </row>
    <row r="115" spans="14:14" hidden="1" x14ac:dyDescent="0.25">
      <c r="N115" s="65" t="str">
        <f ca="1">W!N116</f>
        <v/>
      </c>
    </row>
    <row r="116" spans="14:14" hidden="1" x14ac:dyDescent="0.25">
      <c r="N116" s="65" t="str">
        <f ca="1">W!N117</f>
        <v/>
      </c>
    </row>
    <row r="117" spans="14:14" hidden="1" x14ac:dyDescent="0.25">
      <c r="N117" s="65" t="str">
        <f ca="1">W!N118</f>
        <v/>
      </c>
    </row>
    <row r="118" spans="14:14" hidden="1" x14ac:dyDescent="0.25">
      <c r="N118" s="65" t="str">
        <f ca="1">W!N119</f>
        <v/>
      </c>
    </row>
    <row r="119" spans="14:14" hidden="1" x14ac:dyDescent="0.25">
      <c r="N119" s="65" t="str">
        <f ca="1">W!N120</f>
        <v/>
      </c>
    </row>
    <row r="120" spans="14:14" hidden="1" x14ac:dyDescent="0.25">
      <c r="N120" s="65" t="str">
        <f ca="1">W!N121</f>
        <v/>
      </c>
    </row>
    <row r="121" spans="14:14" hidden="1" x14ac:dyDescent="0.25">
      <c r="N121" s="65" t="str">
        <f ca="1">W!N122</f>
        <v/>
      </c>
    </row>
    <row r="122" spans="14:14" hidden="1" x14ac:dyDescent="0.25">
      <c r="N122" s="65" t="str">
        <f ca="1">W!N123</f>
        <v/>
      </c>
    </row>
    <row r="123" spans="14:14" hidden="1" x14ac:dyDescent="0.25">
      <c r="N123" s="65" t="str">
        <f ca="1">W!N124</f>
        <v/>
      </c>
    </row>
    <row r="124" spans="14:14" hidden="1" x14ac:dyDescent="0.25">
      <c r="N124" s="65" t="str">
        <f ca="1">W!N125</f>
        <v/>
      </c>
    </row>
    <row r="125" spans="14:14" hidden="1" x14ac:dyDescent="0.25">
      <c r="N125" s="65" t="str">
        <f ca="1">W!N126</f>
        <v/>
      </c>
    </row>
    <row r="126" spans="14:14" hidden="1" x14ac:dyDescent="0.25">
      <c r="N126" s="65" t="str">
        <f ca="1">W!N127</f>
        <v/>
      </c>
    </row>
    <row r="127" spans="14:14" hidden="1" x14ac:dyDescent="0.25">
      <c r="N127" s="65" t="str">
        <f ca="1">W!N128</f>
        <v/>
      </c>
    </row>
    <row r="128" spans="14:14" hidden="1" x14ac:dyDescent="0.25">
      <c r="N128" s="65" t="str">
        <f ca="1">W!N129</f>
        <v/>
      </c>
    </row>
    <row r="129" spans="14:14" hidden="1" x14ac:dyDescent="0.25">
      <c r="N129" s="65" t="str">
        <f ca="1">W!N130</f>
        <v/>
      </c>
    </row>
    <row r="130" spans="14:14" hidden="1" x14ac:dyDescent="0.25">
      <c r="N130" s="65" t="str">
        <f ca="1">W!N131</f>
        <v/>
      </c>
    </row>
    <row r="131" spans="14:14" hidden="1" x14ac:dyDescent="0.25">
      <c r="N131" s="65" t="str">
        <f ca="1">W!N132</f>
        <v/>
      </c>
    </row>
    <row r="132" spans="14:14" hidden="1" x14ac:dyDescent="0.25">
      <c r="N132" s="65" t="str">
        <f ca="1">W!N133</f>
        <v/>
      </c>
    </row>
    <row r="133" spans="14:14" hidden="1" x14ac:dyDescent="0.25">
      <c r="N133" s="65" t="str">
        <f ca="1">W!N134</f>
        <v/>
      </c>
    </row>
    <row r="134" spans="14:14" hidden="1" x14ac:dyDescent="0.25">
      <c r="N134" s="65" t="str">
        <f ca="1">W!N135</f>
        <v/>
      </c>
    </row>
    <row r="135" spans="14:14" hidden="1" x14ac:dyDescent="0.25">
      <c r="N135" s="65" t="str">
        <f ca="1">W!N136</f>
        <v/>
      </c>
    </row>
    <row r="136" spans="14:14" hidden="1" x14ac:dyDescent="0.25">
      <c r="N136" s="65" t="str">
        <f ca="1">W!N137</f>
        <v/>
      </c>
    </row>
    <row r="137" spans="14:14" hidden="1" x14ac:dyDescent="0.25">
      <c r="N137" s="65" t="str">
        <f ca="1">W!N138</f>
        <v/>
      </c>
    </row>
    <row r="138" spans="14:14" hidden="1" x14ac:dyDescent="0.25">
      <c r="N138" s="65" t="str">
        <f ca="1">W!N139</f>
        <v/>
      </c>
    </row>
    <row r="139" spans="14:14" hidden="1" x14ac:dyDescent="0.25">
      <c r="N139" s="65">
        <f>W!N140</f>
        <v>0</v>
      </c>
    </row>
  </sheetData>
  <mergeCells count="1">
    <mergeCell ref="E36:H37"/>
  </mergeCells>
  <conditionalFormatting sqref="A19:L19">
    <cfRule type="expression" dxfId="25" priority="13">
      <formula>$N$52="BD"</formula>
    </cfRule>
    <cfRule type="expression" dxfId="24" priority="14">
      <formula>$N$52="UD"</formula>
    </cfRule>
  </conditionalFormatting>
  <conditionalFormatting sqref="A22:L22">
    <cfRule type="expression" dxfId="23" priority="11">
      <formula>$N$52="BD"</formula>
    </cfRule>
    <cfRule type="expression" dxfId="22" priority="12">
      <formula>$N$52="UD"</formula>
    </cfRule>
  </conditionalFormatting>
  <conditionalFormatting sqref="B13:K13">
    <cfRule type="expression" dxfId="21" priority="17">
      <formula>$N$52="BD"</formula>
    </cfRule>
    <cfRule type="expression" dxfId="20" priority="18">
      <formula>$N$52="UD"</formula>
    </cfRule>
  </conditionalFormatting>
  <conditionalFormatting sqref="B16:K16">
    <cfRule type="expression" dxfId="19" priority="15">
      <formula>$N$52="BD"</formula>
    </cfRule>
    <cfRule type="expression" dxfId="18" priority="16">
      <formula>$N$52="UD"</formula>
    </cfRule>
  </conditionalFormatting>
  <conditionalFormatting sqref="B25:K25">
    <cfRule type="expression" dxfId="17" priority="9">
      <formula>$N$52="BD"</formula>
    </cfRule>
    <cfRule type="expression" dxfId="16" priority="10">
      <formula>$N$52="UD"</formula>
    </cfRule>
  </conditionalFormatting>
  <conditionalFormatting sqref="B28:K28">
    <cfRule type="expression" dxfId="15" priority="7">
      <formula>$N$52="BD"</formula>
    </cfRule>
    <cfRule type="expression" dxfId="14" priority="8">
      <formula>$N$52="UD"</formula>
    </cfRule>
  </conditionalFormatting>
  <conditionalFormatting sqref="C10:J10">
    <cfRule type="expression" dxfId="13" priority="35">
      <formula>$N$52="BD"</formula>
    </cfRule>
    <cfRule type="expression" dxfId="12" priority="36">
      <formula>$N$52="UD"</formula>
    </cfRule>
  </conditionalFormatting>
  <conditionalFormatting sqref="C31:J31">
    <cfRule type="expression" dxfId="11" priority="5">
      <formula>$N$52="BD"</formula>
    </cfRule>
    <cfRule type="expression" dxfId="10" priority="6">
      <formula>$N$52="UD"</formula>
    </cfRule>
  </conditionalFormatting>
  <conditionalFormatting sqref="E6:H6 C9:J9 B12:K12 B15:K15 A18:L18 A21:L21 B24:K24 B27:K27 C30:J30 C32:J32 E33:H33">
    <cfRule type="cellIs" dxfId="9" priority="218" operator="between">
      <formula>0.00001</formula>
      <formula>$A$3</formula>
    </cfRule>
  </conditionalFormatting>
  <conditionalFormatting sqref="E6:H6 C9:J9 B12:K12 B15:K15 A18:L18 A21:L21 B24:K24 B27:K27 C30:J30 E33:H33 C32:J32">
    <cfRule type="cellIs" dxfId="8" priority="217" operator="between">
      <formula>$A$3</formula>
      <formula>$A$2</formula>
    </cfRule>
  </conditionalFormatting>
  <conditionalFormatting sqref="E6:H6 C9:J9 B12:K12 B15:K15 A18:L18 A21:L21 B24:K24 B27:K27 C30:J30 E33:H33">
    <cfRule type="cellIs" dxfId="7" priority="216" operator="between">
      <formula>$A$2</formula>
      <formula>$A$1</formula>
    </cfRule>
  </conditionalFormatting>
  <conditionalFormatting sqref="E7:H7">
    <cfRule type="expression" dxfId="6" priority="1">
      <formula>$N$52="BD"</formula>
    </cfRule>
    <cfRule type="expression" dxfId="5" priority="2">
      <formula>$N$52="UD"</formula>
    </cfRule>
  </conditionalFormatting>
  <conditionalFormatting sqref="E8:H8 C11:J11 B14:K14 B17:K17 A20:L20 A23:L23 B26:K26 B29:K29 C32:J32 E35:H35">
    <cfRule type="cellIs" dxfId="4" priority="37" operator="between">
      <formula>$A$2</formula>
      <formula>$A$1</formula>
    </cfRule>
    <cfRule type="cellIs" dxfId="3" priority="214" operator="between">
      <formula>$A$3</formula>
      <formula>$A$2</formula>
    </cfRule>
    <cfRule type="cellIs" dxfId="2" priority="215" operator="between">
      <formula>0.00001</formula>
      <formula>$A$3</formula>
    </cfRule>
  </conditionalFormatting>
  <conditionalFormatting sqref="E34:H34">
    <cfRule type="expression" dxfId="1" priority="3">
      <formula>$N$52="BD"</formula>
    </cfRule>
    <cfRule type="expression" dxfId="0" priority="4">
      <formula>$N$52="UD"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53D47-EB33-4371-9074-16929FB30E55}">
  <sheetPr codeName="Sheet3"/>
  <dimension ref="A1:C16"/>
  <sheetViews>
    <sheetView workbookViewId="0">
      <selection activeCell="A16" sqref="A16"/>
    </sheetView>
  </sheetViews>
  <sheetFormatPr defaultRowHeight="15" x14ac:dyDescent="0.25"/>
  <cols>
    <col min="1" max="1" width="8.85546875" customWidth="1"/>
    <col min="2" max="2" width="8.85546875" style="19"/>
    <col min="3" max="3" width="8.85546875" style="19" customWidth="1"/>
  </cols>
  <sheetData>
    <row r="1" spans="1:3" x14ac:dyDescent="0.25">
      <c r="A1" t="str">
        <f>_xlfn.CONCAT("WaferID=5L0F6E5-",IF(W!C2&lt;&gt;"",W!C2,"12345"),"_",IF(W!E2&lt;&gt;"",IF(LEN(W!E2)=1,"0"&amp;W!E2,W!E2),"67"))</f>
        <v>WaferID=5L0F6E5-12345_67</v>
      </c>
      <c r="B1" s="63"/>
      <c r="C1" s="63"/>
    </row>
    <row r="2" spans="1:3" x14ac:dyDescent="0.25">
      <c r="A2" t="s">
        <v>33</v>
      </c>
      <c r="C2" s="63"/>
    </row>
    <row r="3" spans="1:3" x14ac:dyDescent="0.25">
      <c r="A3" t="s">
        <v>34</v>
      </c>
    </row>
    <row r="4" spans="1:3" x14ac:dyDescent="0.25">
      <c r="A4" t="s">
        <v>35</v>
      </c>
    </row>
    <row r="5" spans="1:3" x14ac:dyDescent="0.25">
      <c r="A5" t="s">
        <v>36</v>
      </c>
    </row>
    <row r="6" spans="1:3" x14ac:dyDescent="0.25">
      <c r="A6" t="str">
        <f ca="1">_xlfn.CONCAT("BinA=",COUNTIF(W!AA52:AA139,"A"))</f>
        <v>BinA=0</v>
      </c>
    </row>
    <row r="7" spans="1:3" x14ac:dyDescent="0.25">
      <c r="A7" s="64" t="str">
        <f>IF(W!C2="","",_xlfn.CONCAT("..",W!AA52,W!AA53,W!AA54,W!AA55,".."))</f>
        <v/>
      </c>
    </row>
    <row r="8" spans="1:3" x14ac:dyDescent="0.25">
      <c r="A8" s="64" t="str">
        <f>IF(W!C2="","",_xlfn.CONCAT(".",W!AA56,W!AA57,W!AA58,W!AA59,W!AA60,W!AA61,W!AA62,W!AA63,"."))</f>
        <v/>
      </c>
    </row>
    <row r="9" spans="1:3" x14ac:dyDescent="0.25">
      <c r="A9" s="64" t="str">
        <f ca="1">_xlfn.CONCAT(W!AA64,W!AA65,W!AA66,W!AA67,W!AA68,W!AA69,W!AA70,W!AA71,W!AA72,W!AA73)</f>
        <v/>
      </c>
    </row>
    <row r="10" spans="1:3" x14ac:dyDescent="0.25">
      <c r="A10" s="64" t="str">
        <f ca="1">_xlfn.CONCAT(W!AA74,W!AA75,W!AA76,W!AA77,W!AA78,W!AA79,W!AA80,W!AA81,W!AA82,W!AA83)</f>
        <v/>
      </c>
    </row>
    <row r="11" spans="1:3" x14ac:dyDescent="0.25">
      <c r="A11" s="64" t="str">
        <f ca="1">_xlfn.CONCAT(W!AA84,W!AA85,W!AA86,W!AA87,W!AA88,W!AA89,W!AA90,W!AA91,W!AA92,W!AA93,W!AA94,W!AA95)</f>
        <v/>
      </c>
    </row>
    <row r="12" spans="1:3" x14ac:dyDescent="0.25">
      <c r="A12" s="64" t="str">
        <f ca="1">_xlfn.CONCAT(W!AA96,W!AA97,W!AA98,W!AA99,W!AA100,W!AA101,W!AA102,W!AA103,W!AA104,W!AA105,W!AA106,W!AA107)</f>
        <v/>
      </c>
    </row>
    <row r="13" spans="1:3" x14ac:dyDescent="0.25">
      <c r="A13" s="64" t="str">
        <f ca="1">_xlfn.CONCAT(W!AA108,W!AA109,W!AA110,W!AA111,W!AA112,W!AA113,W!AA114,W!AA115,W!AA116,W!AA117)</f>
        <v/>
      </c>
    </row>
    <row r="14" spans="1:3" x14ac:dyDescent="0.25">
      <c r="A14" s="64" t="str">
        <f ca="1">_xlfn.CONCAT(W!AA118,W!AA119,W!AA120,W!AA121,W!AA122,W!AA123,W!AA124,W!AA125,W!AA126,W!AA127)</f>
        <v/>
      </c>
    </row>
    <row r="15" spans="1:3" x14ac:dyDescent="0.25">
      <c r="A15" s="64" t="str">
        <f>IF(W!C2="","",_xlfn.CONCAT(".",W!AA128,W!AA129,W!AA130,W!AA131,W!AA132,W!AA133,W!AA134,W!AA135,"."))</f>
        <v/>
      </c>
    </row>
    <row r="16" spans="1:3" x14ac:dyDescent="0.25">
      <c r="A16" s="64" t="str">
        <f>IF(W!C2="","",_xlfn.CONCAT("..",W!AA136,W!AA137,W!AA138,W!AA139,".."))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</vt:lpstr>
      <vt:lpstr>E1E2-E2E1</vt:lpstr>
      <vt:lpstr>txtformat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Templeton</dc:creator>
  <cp:lastModifiedBy>Leonardo Viana</cp:lastModifiedBy>
  <dcterms:created xsi:type="dcterms:W3CDTF">2024-05-29T16:10:59Z</dcterms:created>
  <dcterms:modified xsi:type="dcterms:W3CDTF">2024-10-23T20:59:46Z</dcterms:modified>
</cp:coreProperties>
</file>