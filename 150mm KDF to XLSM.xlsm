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dealpowerinc-my.sharepoint.com/personal/joe_templeton_idealpower_com/Documents/Test Excels/Occasional Access/"/>
    </mc:Choice>
  </mc:AlternateContent>
  <xr:revisionPtr revIDLastSave="690" documentId="8_{18F73A5B-33B5-411D-A1F4-591CD8FA4084}" xr6:coauthVersionLast="47" xr6:coauthVersionMax="47" xr10:uidLastSave="{2BD75997-A0DF-4272-8092-C8133C6DC899}"/>
  <bookViews>
    <workbookView xWindow="59530" yWindow="5530" windowWidth="14630" windowHeight="15210" tabRatio="710" firstSheet="1" activeTab="1" xr2:uid="{DA4248FB-9F94-4318-BB2D-CB639D0E17BB}"/>
  </bookViews>
  <sheets>
    <sheet name="150mm" sheetId="3" state="hidden" r:id="rId1"/>
    <sheet name="WaferFliped_Btm-Probe" sheetId="1" r:id="rId2"/>
    <sheet name="KDF_data" sheetId="2" r:id="rId3"/>
    <sheet name="Combining" sheetId="4" r:id="rId4"/>
    <sheet name="SemeFAB_Wafer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2" l="1"/>
  <c r="AB4" i="2"/>
  <c r="AC4" i="2"/>
  <c r="AD4" i="2"/>
  <c r="AE4" i="2"/>
  <c r="AF4" i="2"/>
  <c r="AG4" i="2"/>
  <c r="AH4" i="2"/>
  <c r="AA5" i="2"/>
  <c r="AB5" i="2"/>
  <c r="AC5" i="2"/>
  <c r="AD5" i="2"/>
  <c r="AE5" i="2"/>
  <c r="Z5" i="2" s="1"/>
  <c r="AF5" i="2"/>
  <c r="AG5" i="2"/>
  <c r="AH5" i="2"/>
  <c r="AA6" i="2"/>
  <c r="AB6" i="2"/>
  <c r="AC6" i="2"/>
  <c r="AD6" i="2"/>
  <c r="AE6" i="2"/>
  <c r="AF6" i="2"/>
  <c r="AG6" i="2"/>
  <c r="AH6" i="2"/>
  <c r="AA7" i="2"/>
  <c r="AB7" i="2"/>
  <c r="AC7" i="2"/>
  <c r="AD7" i="2"/>
  <c r="AE7" i="2"/>
  <c r="AF7" i="2"/>
  <c r="AG7" i="2"/>
  <c r="AH7" i="2"/>
  <c r="AA8" i="2"/>
  <c r="AB8" i="2"/>
  <c r="AC8" i="2"/>
  <c r="AD8" i="2"/>
  <c r="AE8" i="2"/>
  <c r="AF8" i="2"/>
  <c r="AG8" i="2"/>
  <c r="AH8" i="2"/>
  <c r="AA9" i="2"/>
  <c r="AB9" i="2"/>
  <c r="AC9" i="2"/>
  <c r="AD9" i="2"/>
  <c r="AE9" i="2"/>
  <c r="AF9" i="2"/>
  <c r="AG9" i="2"/>
  <c r="AH9" i="2"/>
  <c r="AA10" i="2"/>
  <c r="AB10" i="2"/>
  <c r="AC10" i="2"/>
  <c r="AD10" i="2"/>
  <c r="AE10" i="2"/>
  <c r="Z10" i="2" s="1"/>
  <c r="AF10" i="2"/>
  <c r="AG10" i="2"/>
  <c r="AH10" i="2"/>
  <c r="AA11" i="2"/>
  <c r="AB11" i="2"/>
  <c r="AC11" i="2"/>
  <c r="AD11" i="2"/>
  <c r="AE11" i="2"/>
  <c r="AF11" i="2"/>
  <c r="AG11" i="2"/>
  <c r="AH11" i="2"/>
  <c r="AA12" i="2"/>
  <c r="AB12" i="2"/>
  <c r="AC12" i="2"/>
  <c r="AD12" i="2"/>
  <c r="AE12" i="2"/>
  <c r="AF12" i="2"/>
  <c r="AG12" i="2"/>
  <c r="AH12" i="2"/>
  <c r="AA13" i="2"/>
  <c r="AB13" i="2"/>
  <c r="AC13" i="2"/>
  <c r="AD13" i="2"/>
  <c r="AE13" i="2"/>
  <c r="Z13" i="2" s="1"/>
  <c r="AF13" i="2"/>
  <c r="AG13" i="2"/>
  <c r="AH13" i="2"/>
  <c r="AA14" i="2"/>
  <c r="AB14" i="2"/>
  <c r="AC14" i="2"/>
  <c r="AD14" i="2"/>
  <c r="AE14" i="2"/>
  <c r="AF14" i="2"/>
  <c r="AG14" i="2"/>
  <c r="AH14" i="2"/>
  <c r="AA15" i="2"/>
  <c r="AB15" i="2"/>
  <c r="AC15" i="2"/>
  <c r="AD15" i="2"/>
  <c r="AE15" i="2"/>
  <c r="Z15" i="2" s="1"/>
  <c r="AF15" i="2"/>
  <c r="AG15" i="2"/>
  <c r="AH15" i="2"/>
  <c r="AA16" i="2"/>
  <c r="AB16" i="2"/>
  <c r="AC16" i="2"/>
  <c r="AD16" i="2"/>
  <c r="AE16" i="2"/>
  <c r="AF16" i="2"/>
  <c r="AG16" i="2"/>
  <c r="AH16" i="2"/>
  <c r="AA17" i="2"/>
  <c r="AB17" i="2"/>
  <c r="AC17" i="2"/>
  <c r="AD17" i="2"/>
  <c r="AE17" i="2"/>
  <c r="AF17" i="2"/>
  <c r="AG17" i="2"/>
  <c r="AH17" i="2"/>
  <c r="AA18" i="2"/>
  <c r="AB18" i="2"/>
  <c r="AC18" i="2"/>
  <c r="AD18" i="2"/>
  <c r="AE18" i="2"/>
  <c r="AF18" i="2"/>
  <c r="AG18" i="2"/>
  <c r="AH18" i="2"/>
  <c r="AA19" i="2"/>
  <c r="AB19" i="2"/>
  <c r="AC19" i="2"/>
  <c r="AD19" i="2"/>
  <c r="AE19" i="2"/>
  <c r="AF19" i="2"/>
  <c r="AG19" i="2"/>
  <c r="AH19" i="2"/>
  <c r="AA20" i="2"/>
  <c r="AB20" i="2"/>
  <c r="AC20" i="2"/>
  <c r="AD20" i="2"/>
  <c r="AE20" i="2"/>
  <c r="Z20" i="2" s="1"/>
  <c r="AF20" i="2"/>
  <c r="AG20" i="2"/>
  <c r="AH20" i="2"/>
  <c r="AA21" i="2"/>
  <c r="AB21" i="2"/>
  <c r="AC21" i="2"/>
  <c r="AD21" i="2"/>
  <c r="AE21" i="2"/>
  <c r="AF21" i="2"/>
  <c r="AG21" i="2"/>
  <c r="AH21" i="2"/>
  <c r="AA22" i="2"/>
  <c r="AB22" i="2"/>
  <c r="AC22" i="2"/>
  <c r="AD22" i="2"/>
  <c r="AE22" i="2"/>
  <c r="AF22" i="2"/>
  <c r="AG22" i="2"/>
  <c r="AH22" i="2"/>
  <c r="AA23" i="2"/>
  <c r="AB23" i="2"/>
  <c r="AC23" i="2"/>
  <c r="AD23" i="2"/>
  <c r="AE23" i="2"/>
  <c r="Z23" i="2" s="1"/>
  <c r="AF23" i="2"/>
  <c r="AG23" i="2"/>
  <c r="AH23" i="2"/>
  <c r="AA24" i="2"/>
  <c r="AB24" i="2"/>
  <c r="AC24" i="2"/>
  <c r="AD24" i="2"/>
  <c r="AE24" i="2"/>
  <c r="AF24" i="2"/>
  <c r="AG24" i="2"/>
  <c r="AH24" i="2"/>
  <c r="AA25" i="2"/>
  <c r="AB25" i="2"/>
  <c r="AC25" i="2"/>
  <c r="AD25" i="2"/>
  <c r="AE25" i="2"/>
  <c r="Z25" i="2" s="1"/>
  <c r="AF25" i="2"/>
  <c r="AG25" i="2"/>
  <c r="AH25" i="2"/>
  <c r="AA26" i="2"/>
  <c r="AB26" i="2"/>
  <c r="AC26" i="2"/>
  <c r="AD26" i="2"/>
  <c r="AE26" i="2"/>
  <c r="Z26" i="2" s="1"/>
  <c r="AF26" i="2"/>
  <c r="AG26" i="2"/>
  <c r="AH26" i="2"/>
  <c r="AA27" i="2"/>
  <c r="AB27" i="2"/>
  <c r="AC27" i="2"/>
  <c r="AD27" i="2"/>
  <c r="AE27" i="2"/>
  <c r="AF27" i="2"/>
  <c r="AG27" i="2"/>
  <c r="AH27" i="2"/>
  <c r="AA28" i="2"/>
  <c r="AB28" i="2"/>
  <c r="AC28" i="2"/>
  <c r="AD28" i="2"/>
  <c r="AE28" i="2"/>
  <c r="AF28" i="2"/>
  <c r="AG28" i="2"/>
  <c r="AH28" i="2"/>
  <c r="AA29" i="2"/>
  <c r="AB29" i="2"/>
  <c r="AC29" i="2"/>
  <c r="AD29" i="2"/>
  <c r="AE29" i="2"/>
  <c r="AF29" i="2"/>
  <c r="AG29" i="2"/>
  <c r="AH29" i="2"/>
  <c r="AA30" i="2"/>
  <c r="AB30" i="2"/>
  <c r="AC30" i="2"/>
  <c r="AD30" i="2"/>
  <c r="AE30" i="2"/>
  <c r="Z30" i="2" s="1"/>
  <c r="AF30" i="2"/>
  <c r="AG30" i="2"/>
  <c r="AH30" i="2"/>
  <c r="AA31" i="2"/>
  <c r="AB31" i="2"/>
  <c r="AC31" i="2"/>
  <c r="AD31" i="2"/>
  <c r="AE31" i="2"/>
  <c r="Z31" i="2" s="1"/>
  <c r="AF31" i="2"/>
  <c r="AG31" i="2"/>
  <c r="AH31" i="2"/>
  <c r="AA32" i="2"/>
  <c r="AB32" i="2"/>
  <c r="AC32" i="2"/>
  <c r="AD32" i="2"/>
  <c r="AE32" i="2"/>
  <c r="AF32" i="2"/>
  <c r="AG32" i="2"/>
  <c r="AH32" i="2"/>
  <c r="AA33" i="2"/>
  <c r="AB33" i="2"/>
  <c r="AC33" i="2"/>
  <c r="AD33" i="2"/>
  <c r="AE33" i="2"/>
  <c r="Z33" i="2" s="1"/>
  <c r="AF33" i="2"/>
  <c r="AG33" i="2"/>
  <c r="AH33" i="2"/>
  <c r="AA34" i="2"/>
  <c r="AB34" i="2"/>
  <c r="AC34" i="2"/>
  <c r="AD34" i="2"/>
  <c r="AE34" i="2"/>
  <c r="AF34" i="2"/>
  <c r="AG34" i="2"/>
  <c r="AH34" i="2"/>
  <c r="AA35" i="2"/>
  <c r="AB35" i="2"/>
  <c r="AC35" i="2"/>
  <c r="AD35" i="2"/>
  <c r="AE35" i="2"/>
  <c r="Z35" i="2" s="1"/>
  <c r="AF35" i="2"/>
  <c r="AG35" i="2"/>
  <c r="AH35" i="2"/>
  <c r="AA36" i="2"/>
  <c r="AB36" i="2"/>
  <c r="AC36" i="2"/>
  <c r="AD36" i="2"/>
  <c r="AE36" i="2"/>
  <c r="Z36" i="2" s="1"/>
  <c r="AF36" i="2"/>
  <c r="AG36" i="2"/>
  <c r="AH36" i="2"/>
  <c r="AA37" i="2"/>
  <c r="AB37" i="2"/>
  <c r="AC37" i="2"/>
  <c r="AD37" i="2"/>
  <c r="AE37" i="2"/>
  <c r="AF37" i="2"/>
  <c r="AG37" i="2"/>
  <c r="AH37" i="2"/>
  <c r="AA38" i="2"/>
  <c r="AB38" i="2"/>
  <c r="AC38" i="2"/>
  <c r="AD38" i="2"/>
  <c r="AE38" i="2"/>
  <c r="AF38" i="2"/>
  <c r="AG38" i="2"/>
  <c r="AH38" i="2"/>
  <c r="AA39" i="2"/>
  <c r="AB39" i="2"/>
  <c r="AC39" i="2"/>
  <c r="AD39" i="2"/>
  <c r="AE39" i="2"/>
  <c r="AF39" i="2"/>
  <c r="AG39" i="2"/>
  <c r="AH39" i="2"/>
  <c r="AA40" i="2"/>
  <c r="AB40" i="2"/>
  <c r="AC40" i="2"/>
  <c r="AD40" i="2"/>
  <c r="AE40" i="2"/>
  <c r="Z40" i="2" s="1"/>
  <c r="AF40" i="2"/>
  <c r="AG40" i="2"/>
  <c r="AH40" i="2"/>
  <c r="AA41" i="2"/>
  <c r="AB41" i="2"/>
  <c r="AC41" i="2"/>
  <c r="AD41" i="2"/>
  <c r="AE41" i="2"/>
  <c r="Z41" i="2" s="1"/>
  <c r="AF41" i="2"/>
  <c r="AG41" i="2"/>
  <c r="AH41" i="2"/>
  <c r="AA42" i="2"/>
  <c r="AB42" i="2"/>
  <c r="AC42" i="2"/>
  <c r="AD42" i="2"/>
  <c r="AE42" i="2"/>
  <c r="AF42" i="2"/>
  <c r="AG42" i="2"/>
  <c r="AH42" i="2"/>
  <c r="AA43" i="2"/>
  <c r="AB43" i="2"/>
  <c r="AC43" i="2"/>
  <c r="AD43" i="2"/>
  <c r="AE43" i="2"/>
  <c r="Z43" i="2" s="1"/>
  <c r="AF43" i="2"/>
  <c r="AG43" i="2"/>
  <c r="AH43" i="2"/>
  <c r="AA44" i="2"/>
  <c r="AB44" i="2"/>
  <c r="AC44" i="2"/>
  <c r="AD44" i="2"/>
  <c r="AE44" i="2"/>
  <c r="AF44" i="2"/>
  <c r="AG44" i="2"/>
  <c r="AH44" i="2"/>
  <c r="AA45" i="2"/>
  <c r="AB45" i="2"/>
  <c r="AC45" i="2"/>
  <c r="AD45" i="2"/>
  <c r="AE45" i="2"/>
  <c r="Z45" i="2" s="1"/>
  <c r="AF45" i="2"/>
  <c r="AG45" i="2"/>
  <c r="AH45" i="2"/>
  <c r="AA46" i="2"/>
  <c r="AB46" i="2"/>
  <c r="AC46" i="2"/>
  <c r="AD46" i="2"/>
  <c r="AE46" i="2"/>
  <c r="Z46" i="2" s="1"/>
  <c r="AF46" i="2"/>
  <c r="AG46" i="2"/>
  <c r="AH46" i="2"/>
  <c r="AA47" i="2"/>
  <c r="AB47" i="2"/>
  <c r="AC47" i="2"/>
  <c r="AD47" i="2"/>
  <c r="AE47" i="2"/>
  <c r="AF47" i="2"/>
  <c r="AG47" i="2"/>
  <c r="AH47" i="2"/>
  <c r="AA48" i="2"/>
  <c r="AB48" i="2"/>
  <c r="AC48" i="2"/>
  <c r="AD48" i="2"/>
  <c r="AE48" i="2"/>
  <c r="AF48" i="2"/>
  <c r="AG48" i="2"/>
  <c r="AH48" i="2"/>
  <c r="AA49" i="2"/>
  <c r="AB49" i="2"/>
  <c r="AC49" i="2"/>
  <c r="AD49" i="2"/>
  <c r="AE49" i="2"/>
  <c r="AF49" i="2"/>
  <c r="AG49" i="2"/>
  <c r="AH49" i="2"/>
  <c r="AA50" i="2"/>
  <c r="AB50" i="2"/>
  <c r="AC50" i="2"/>
  <c r="AD50" i="2"/>
  <c r="AE50" i="2"/>
  <c r="Z50" i="2" s="1"/>
  <c r="AF50" i="2"/>
  <c r="AG50" i="2"/>
  <c r="AH50" i="2"/>
  <c r="AA51" i="2"/>
  <c r="AB51" i="2"/>
  <c r="AC51" i="2"/>
  <c r="AD51" i="2"/>
  <c r="AE51" i="2"/>
  <c r="Z51" i="2" s="1"/>
  <c r="AF51" i="2"/>
  <c r="AG51" i="2"/>
  <c r="AH51" i="2"/>
  <c r="AA52" i="2"/>
  <c r="AB52" i="2"/>
  <c r="AC52" i="2"/>
  <c r="AD52" i="2"/>
  <c r="AE52" i="2"/>
  <c r="AF52" i="2"/>
  <c r="AG52" i="2"/>
  <c r="AH52" i="2"/>
  <c r="AA53" i="2"/>
  <c r="AB53" i="2"/>
  <c r="AC53" i="2"/>
  <c r="AD53" i="2"/>
  <c r="AE53" i="2"/>
  <c r="Z53" i="2" s="1"/>
  <c r="AF53" i="2"/>
  <c r="AG53" i="2"/>
  <c r="AH53" i="2"/>
  <c r="AA54" i="2"/>
  <c r="AB54" i="2"/>
  <c r="AC54" i="2"/>
  <c r="AD54" i="2"/>
  <c r="AE54" i="2"/>
  <c r="AF54" i="2"/>
  <c r="AG54" i="2"/>
  <c r="AH54" i="2"/>
  <c r="AA55" i="2"/>
  <c r="AB55" i="2"/>
  <c r="AC55" i="2"/>
  <c r="AD55" i="2"/>
  <c r="AE55" i="2"/>
  <c r="Z55" i="2" s="1"/>
  <c r="AF55" i="2"/>
  <c r="AG55" i="2"/>
  <c r="AH55" i="2"/>
  <c r="AA56" i="2"/>
  <c r="AB56" i="2"/>
  <c r="AC56" i="2"/>
  <c r="AD56" i="2"/>
  <c r="AE56" i="2"/>
  <c r="Z56" i="2" s="1"/>
  <c r="AF56" i="2"/>
  <c r="AG56" i="2"/>
  <c r="AH56" i="2"/>
  <c r="AA57" i="2"/>
  <c r="AB57" i="2"/>
  <c r="AC57" i="2"/>
  <c r="AD57" i="2"/>
  <c r="AE57" i="2"/>
  <c r="AF57" i="2"/>
  <c r="AG57" i="2"/>
  <c r="AH57" i="2"/>
  <c r="AA58" i="2"/>
  <c r="AB58" i="2"/>
  <c r="AC58" i="2"/>
  <c r="AD58" i="2"/>
  <c r="AE58" i="2"/>
  <c r="AF58" i="2"/>
  <c r="AG58" i="2"/>
  <c r="AH58" i="2"/>
  <c r="AA59" i="2"/>
  <c r="AB59" i="2"/>
  <c r="AC59" i="2"/>
  <c r="AD59" i="2"/>
  <c r="AE59" i="2"/>
  <c r="AF59" i="2"/>
  <c r="AG59" i="2"/>
  <c r="AH59" i="2"/>
  <c r="AA60" i="2"/>
  <c r="AB60" i="2"/>
  <c r="AC60" i="2"/>
  <c r="AD60" i="2"/>
  <c r="AE60" i="2"/>
  <c r="Z60" i="2" s="1"/>
  <c r="AF60" i="2"/>
  <c r="AG60" i="2"/>
  <c r="AH60" i="2"/>
  <c r="AA61" i="2"/>
  <c r="AB61" i="2"/>
  <c r="AC61" i="2"/>
  <c r="AD61" i="2"/>
  <c r="AE61" i="2"/>
  <c r="Z61" i="2" s="1"/>
  <c r="AF61" i="2"/>
  <c r="AG61" i="2"/>
  <c r="AH61" i="2"/>
  <c r="AA62" i="2"/>
  <c r="AB62" i="2"/>
  <c r="AC62" i="2"/>
  <c r="AD62" i="2"/>
  <c r="AE62" i="2"/>
  <c r="AF62" i="2"/>
  <c r="AG62" i="2"/>
  <c r="AH62" i="2"/>
  <c r="AA63" i="2"/>
  <c r="AB63" i="2"/>
  <c r="AC63" i="2"/>
  <c r="AD63" i="2"/>
  <c r="AE63" i="2"/>
  <c r="AF63" i="2"/>
  <c r="Z63" i="2" s="1"/>
  <c r="AG63" i="2"/>
  <c r="AH63" i="2"/>
  <c r="AA64" i="2"/>
  <c r="AB64" i="2"/>
  <c r="AC64" i="2"/>
  <c r="AD64" i="2"/>
  <c r="AE64" i="2"/>
  <c r="AF64" i="2"/>
  <c r="AG64" i="2"/>
  <c r="AH64" i="2"/>
  <c r="AA65" i="2"/>
  <c r="AB65" i="2"/>
  <c r="AC65" i="2"/>
  <c r="AD65" i="2"/>
  <c r="AE65" i="2"/>
  <c r="Z65" i="2" s="1"/>
  <c r="AF65" i="2"/>
  <c r="AG65" i="2"/>
  <c r="AH65" i="2"/>
  <c r="AA66" i="2"/>
  <c r="AB66" i="2"/>
  <c r="AC66" i="2"/>
  <c r="AD66" i="2"/>
  <c r="AE66" i="2"/>
  <c r="Z66" i="2" s="1"/>
  <c r="AF66" i="2"/>
  <c r="AG66" i="2"/>
  <c r="AH66" i="2"/>
  <c r="AA67" i="2"/>
  <c r="AB67" i="2"/>
  <c r="AC67" i="2"/>
  <c r="AD67" i="2"/>
  <c r="AE67" i="2"/>
  <c r="AF67" i="2"/>
  <c r="AG67" i="2"/>
  <c r="AH67" i="2"/>
  <c r="AA68" i="2"/>
  <c r="AB68" i="2"/>
  <c r="AC68" i="2"/>
  <c r="AD68" i="2"/>
  <c r="AE68" i="2"/>
  <c r="AF68" i="2"/>
  <c r="AG68" i="2"/>
  <c r="AH68" i="2"/>
  <c r="AA69" i="2"/>
  <c r="AB69" i="2"/>
  <c r="AC69" i="2"/>
  <c r="AD69" i="2"/>
  <c r="AE69" i="2"/>
  <c r="AF69" i="2"/>
  <c r="AG69" i="2"/>
  <c r="AH69" i="2"/>
  <c r="AA70" i="2"/>
  <c r="AB70" i="2"/>
  <c r="AC70" i="2"/>
  <c r="AD70" i="2"/>
  <c r="AE70" i="2"/>
  <c r="Z70" i="2" s="1"/>
  <c r="AF70" i="2"/>
  <c r="AG70" i="2"/>
  <c r="AH70" i="2"/>
  <c r="AA71" i="2"/>
  <c r="AB71" i="2"/>
  <c r="AC71" i="2"/>
  <c r="AD71" i="2"/>
  <c r="AE71" i="2"/>
  <c r="Z71" i="2" s="1"/>
  <c r="AF71" i="2"/>
  <c r="AG71" i="2"/>
  <c r="AH71" i="2"/>
  <c r="AA72" i="2"/>
  <c r="AB72" i="2"/>
  <c r="AC72" i="2"/>
  <c r="AD72" i="2"/>
  <c r="AE72" i="2"/>
  <c r="AF72" i="2"/>
  <c r="AG72" i="2"/>
  <c r="AH72" i="2"/>
  <c r="AA73" i="2"/>
  <c r="AB73" i="2"/>
  <c r="AC73" i="2"/>
  <c r="AD73" i="2"/>
  <c r="AE73" i="2"/>
  <c r="AF73" i="2"/>
  <c r="AG73" i="2"/>
  <c r="Z73" i="2" s="1"/>
  <c r="AH73" i="2"/>
  <c r="AA74" i="2"/>
  <c r="AB74" i="2"/>
  <c r="AC74" i="2"/>
  <c r="AD74" i="2"/>
  <c r="AE74" i="2"/>
  <c r="AF74" i="2"/>
  <c r="AG74" i="2"/>
  <c r="AH74" i="2"/>
  <c r="AA75" i="2"/>
  <c r="AB75" i="2"/>
  <c r="AC75" i="2"/>
  <c r="AD75" i="2"/>
  <c r="AE75" i="2"/>
  <c r="Z75" i="2" s="1"/>
  <c r="AF75" i="2"/>
  <c r="AG75" i="2"/>
  <c r="AH75" i="2"/>
  <c r="AA76" i="2"/>
  <c r="AB76" i="2"/>
  <c r="AC76" i="2"/>
  <c r="AD76" i="2"/>
  <c r="AE76" i="2"/>
  <c r="Z76" i="2" s="1"/>
  <c r="AF76" i="2"/>
  <c r="AG76" i="2"/>
  <c r="AH76" i="2"/>
  <c r="AA77" i="2"/>
  <c r="AB77" i="2"/>
  <c r="AC77" i="2"/>
  <c r="AD77" i="2"/>
  <c r="AE77" i="2"/>
  <c r="AF77" i="2"/>
  <c r="AG77" i="2"/>
  <c r="AH77" i="2"/>
  <c r="AA78" i="2"/>
  <c r="AB78" i="2"/>
  <c r="AC78" i="2"/>
  <c r="AD78" i="2"/>
  <c r="AE78" i="2"/>
  <c r="AF78" i="2"/>
  <c r="AG78" i="2"/>
  <c r="AH78" i="2"/>
  <c r="AA79" i="2"/>
  <c r="AB79" i="2"/>
  <c r="AC79" i="2"/>
  <c r="AD79" i="2"/>
  <c r="AE79" i="2"/>
  <c r="AF79" i="2"/>
  <c r="AG79" i="2"/>
  <c r="AH79" i="2"/>
  <c r="AA80" i="2"/>
  <c r="AB80" i="2"/>
  <c r="AC80" i="2"/>
  <c r="AD80" i="2"/>
  <c r="AE80" i="2"/>
  <c r="Z80" i="2" s="1"/>
  <c r="AF80" i="2"/>
  <c r="AG80" i="2"/>
  <c r="AH80" i="2"/>
  <c r="AA81" i="2"/>
  <c r="AB81" i="2"/>
  <c r="AC81" i="2"/>
  <c r="AD81" i="2"/>
  <c r="AE81" i="2"/>
  <c r="Z81" i="2" s="1"/>
  <c r="AF81" i="2"/>
  <c r="AG81" i="2"/>
  <c r="AH81" i="2"/>
  <c r="AA82" i="2"/>
  <c r="AB82" i="2"/>
  <c r="AC82" i="2"/>
  <c r="AD82" i="2"/>
  <c r="AE82" i="2"/>
  <c r="AF82" i="2"/>
  <c r="AG82" i="2"/>
  <c r="AH82" i="2"/>
  <c r="AA83" i="2"/>
  <c r="AB83" i="2"/>
  <c r="AC83" i="2"/>
  <c r="AD83" i="2"/>
  <c r="AE83" i="2"/>
  <c r="AF83" i="2"/>
  <c r="AG83" i="2"/>
  <c r="AH83" i="2"/>
  <c r="Z83" i="2" s="1"/>
  <c r="AA84" i="2"/>
  <c r="AB84" i="2"/>
  <c r="AC84" i="2"/>
  <c r="AD84" i="2"/>
  <c r="AE84" i="2"/>
  <c r="AF84" i="2"/>
  <c r="AG84" i="2"/>
  <c r="AH84" i="2"/>
  <c r="AA85" i="2"/>
  <c r="AB85" i="2"/>
  <c r="AC85" i="2"/>
  <c r="AD85" i="2"/>
  <c r="AE85" i="2"/>
  <c r="Z85" i="2" s="1"/>
  <c r="AF85" i="2"/>
  <c r="AG85" i="2"/>
  <c r="AH85" i="2"/>
  <c r="AA86" i="2"/>
  <c r="AB86" i="2"/>
  <c r="AC86" i="2"/>
  <c r="AD86" i="2"/>
  <c r="AE86" i="2"/>
  <c r="Z86" i="2" s="1"/>
  <c r="AF86" i="2"/>
  <c r="AG86" i="2"/>
  <c r="AH86" i="2"/>
  <c r="AA87" i="2"/>
  <c r="AB87" i="2"/>
  <c r="AC87" i="2"/>
  <c r="AD87" i="2"/>
  <c r="AE87" i="2"/>
  <c r="AF87" i="2"/>
  <c r="AG87" i="2"/>
  <c r="AH87" i="2"/>
  <c r="AA88" i="2"/>
  <c r="AB88" i="2"/>
  <c r="AC88" i="2"/>
  <c r="AD88" i="2"/>
  <c r="AE88" i="2"/>
  <c r="AF88" i="2"/>
  <c r="AG88" i="2"/>
  <c r="AH88" i="2"/>
  <c r="AA89" i="2"/>
  <c r="AB89" i="2"/>
  <c r="AC89" i="2"/>
  <c r="AD89" i="2"/>
  <c r="AE89" i="2"/>
  <c r="AF89" i="2"/>
  <c r="AG89" i="2"/>
  <c r="AH89" i="2"/>
  <c r="AA90" i="2"/>
  <c r="AB90" i="2"/>
  <c r="AC90" i="2"/>
  <c r="AD90" i="2"/>
  <c r="AE90" i="2"/>
  <c r="Z90" i="2" s="1"/>
  <c r="AF90" i="2"/>
  <c r="AG90" i="2"/>
  <c r="AH90" i="2"/>
  <c r="AH3" i="2"/>
  <c r="AG3" i="2"/>
  <c r="AF3" i="2"/>
  <c r="AE3" i="2"/>
  <c r="AD3" i="2"/>
  <c r="AC3" i="2"/>
  <c r="AB3" i="2"/>
  <c r="AA3" i="2"/>
  <c r="E1" i="5" a="1"/>
  <c r="E1" i="5" s="1"/>
  <c r="A18" i="5" a="1"/>
  <c r="C27" i="5" a="1"/>
  <c r="B24" i="5" a="1"/>
  <c r="B12" i="5" a="1"/>
  <c r="B21" i="5" a="1"/>
  <c r="C6" i="5" a="1"/>
  <c r="A15" i="5" a="1"/>
  <c r="B9" i="5" a="1"/>
  <c r="E30" i="5" a="1"/>
  <c r="E3" i="5" a="1"/>
  <c r="Z24" i="2" l="1"/>
  <c r="Z29" i="2"/>
  <c r="Z34" i="2"/>
  <c r="Z64" i="2"/>
  <c r="Z74" i="2"/>
  <c r="Z22" i="2"/>
  <c r="Z79" i="2"/>
  <c r="Z82" i="2"/>
  <c r="Z72" i="2"/>
  <c r="Z62" i="2"/>
  <c r="Z52" i="2"/>
  <c r="Z42" i="2"/>
  <c r="Z32" i="2"/>
  <c r="Z4" i="2"/>
  <c r="Z14" i="2"/>
  <c r="Z89" i="2"/>
  <c r="Z84" i="2"/>
  <c r="Z69" i="2"/>
  <c r="Z59" i="2"/>
  <c r="Z54" i="2"/>
  <c r="Z49" i="2"/>
  <c r="Z44" i="2"/>
  <c r="Z39" i="2"/>
  <c r="Z21" i="2"/>
  <c r="Z16" i="2"/>
  <c r="Z11" i="2"/>
  <c r="Z3" i="2"/>
  <c r="Z17" i="2"/>
  <c r="Z7" i="2"/>
  <c r="Z47" i="2"/>
  <c r="Z67" i="2"/>
  <c r="Z57" i="2"/>
  <c r="Z27" i="2"/>
  <c r="Z12" i="2"/>
  <c r="Z87" i="2"/>
  <c r="Z37" i="2"/>
  <c r="Z19" i="2"/>
  <c r="Z9" i="2"/>
  <c r="Z77" i="2"/>
  <c r="Z6" i="2"/>
  <c r="Z78" i="2"/>
  <c r="Z48" i="2"/>
  <c r="Z88" i="2"/>
  <c r="Z68" i="2"/>
  <c r="Z58" i="2"/>
  <c r="Z38" i="2"/>
  <c r="Z28" i="2"/>
  <c r="Z18" i="2"/>
  <c r="Z8" i="2"/>
  <c r="Y29" i="2"/>
  <c r="Y79" i="2"/>
  <c r="Y69" i="2"/>
  <c r="Y49" i="2"/>
  <c r="Y89" i="2"/>
  <c r="Y59" i="2"/>
  <c r="Y39" i="2"/>
  <c r="Y43" i="2"/>
  <c r="Y73" i="2"/>
  <c r="Y33" i="2"/>
  <c r="Y23" i="2"/>
  <c r="Y13" i="2"/>
  <c r="Y19" i="2"/>
  <c r="Y9" i="2"/>
  <c r="Y83" i="2"/>
  <c r="Y63" i="2"/>
  <c r="Y53" i="2"/>
  <c r="Y86" i="2"/>
  <c r="Y81" i="2"/>
  <c r="Y76" i="2"/>
  <c r="Y71" i="2"/>
  <c r="Y66" i="2"/>
  <c r="Y61" i="2"/>
  <c r="Y56" i="2"/>
  <c r="Y51" i="2"/>
  <c r="Y46" i="2"/>
  <c r="Y41" i="2"/>
  <c r="Y36" i="2"/>
  <c r="Y31" i="2"/>
  <c r="Y26" i="2"/>
  <c r="Y21" i="2"/>
  <c r="Y16" i="2"/>
  <c r="Y11" i="2"/>
  <c r="Y6" i="2"/>
  <c r="Y88" i="2"/>
  <c r="Y78" i="2"/>
  <c r="Y68" i="2"/>
  <c r="Y58" i="2"/>
  <c r="Y48" i="2"/>
  <c r="Y38" i="2"/>
  <c r="Y28" i="2"/>
  <c r="Y18" i="2"/>
  <c r="Y8" i="2"/>
  <c r="Y5" i="2"/>
  <c r="Y40" i="2"/>
  <c r="Y10" i="2"/>
  <c r="Y30" i="2"/>
  <c r="Y65" i="2"/>
  <c r="Y55" i="2"/>
  <c r="Y45" i="2"/>
  <c r="Y35" i="2"/>
  <c r="Y25" i="2"/>
  <c r="Y15" i="2"/>
  <c r="Y90" i="2"/>
  <c r="Y85" i="2"/>
  <c r="Y80" i="2"/>
  <c r="Y75" i="2"/>
  <c r="Y70" i="2"/>
  <c r="Y60" i="2"/>
  <c r="Y50" i="2"/>
  <c r="Y20" i="2"/>
  <c r="Y3" i="2"/>
  <c r="Y84" i="2"/>
  <c r="Y74" i="2"/>
  <c r="Y64" i="2"/>
  <c r="Y54" i="2"/>
  <c r="Y44" i="2"/>
  <c r="Y34" i="2"/>
  <c r="Y24" i="2"/>
  <c r="Y14" i="2"/>
  <c r="Y4" i="2"/>
  <c r="Y87" i="2"/>
  <c r="Y82" i="2"/>
  <c r="Y77" i="2"/>
  <c r="Y72" i="2"/>
  <c r="Y67" i="2"/>
  <c r="Y62" i="2"/>
  <c r="Y57" i="2"/>
  <c r="Y52" i="2"/>
  <c r="Y47" i="2"/>
  <c r="Y42" i="2"/>
  <c r="Y37" i="2"/>
  <c r="Y32" i="2"/>
  <c r="Y27" i="2"/>
  <c r="Y22" i="2"/>
  <c r="Y17" i="2"/>
  <c r="Y12" i="2"/>
  <c r="Y7" i="2"/>
  <c r="E30" i="5"/>
  <c r="C27" i="5"/>
  <c r="B24" i="5"/>
  <c r="B21" i="5"/>
  <c r="A18" i="5"/>
  <c r="A15" i="5"/>
  <c r="B12" i="5"/>
  <c r="B9" i="5"/>
  <c r="C6" i="5"/>
  <c r="E3" i="5"/>
  <c r="E28" i="5" a="1"/>
  <c r="E28" i="5" s="1"/>
  <c r="C25" i="5" a="1"/>
  <c r="C25" i="5" s="1"/>
  <c r="B22" i="5" a="1"/>
  <c r="B22" i="5" s="1"/>
  <c r="B19" i="5" a="1"/>
  <c r="B19" i="5" s="1"/>
  <c r="A16" i="5" a="1"/>
  <c r="A16" i="5" s="1"/>
  <c r="A13" i="5" a="1"/>
  <c r="A13" i="5" s="1"/>
  <c r="B10" i="5" a="1"/>
  <c r="B10" i="5" s="1"/>
  <c r="B7" i="5" a="1"/>
  <c r="B7" i="5" s="1"/>
  <c r="C4" i="5" a="1"/>
  <c r="C4" i="5" s="1"/>
  <c r="F2" i="5"/>
  <c r="G2" i="5" s="1"/>
  <c r="H2" i="5" s="1"/>
  <c r="C5" i="5" l="1"/>
  <c r="D5" i="5" l="1"/>
  <c r="E5" i="5" s="1"/>
  <c r="F5" i="5" s="1"/>
  <c r="G5" i="5" s="1"/>
  <c r="H5" i="5" s="1"/>
  <c r="I5" i="5" s="1"/>
  <c r="J5" i="5" s="1"/>
  <c r="B8" i="5" l="1"/>
  <c r="C8" i="5" s="1"/>
  <c r="D8" i="5" s="1"/>
  <c r="E8" i="5" s="1"/>
  <c r="F8" i="5" s="1"/>
  <c r="G8" i="5" s="1"/>
  <c r="H8" i="5" s="1"/>
  <c r="I8" i="5" s="1"/>
  <c r="J8" i="5" s="1"/>
  <c r="K8" i="5" s="1"/>
  <c r="B11" i="5" l="1"/>
  <c r="C11" i="5" l="1"/>
  <c r="D11" i="5" s="1"/>
  <c r="E11" i="5" s="1"/>
  <c r="F11" i="5" s="1"/>
  <c r="G11" i="5" s="1"/>
  <c r="H11" i="5" s="1"/>
  <c r="I11" i="5" s="1"/>
  <c r="J11" i="5" s="1"/>
  <c r="K11" i="5" s="1"/>
  <c r="A14" i="5"/>
  <c r="B14" i="5" l="1"/>
  <c r="C14" i="5" s="1"/>
  <c r="D14" i="5" s="1"/>
  <c r="E14" i="5" s="1"/>
  <c r="F14" i="5" s="1"/>
  <c r="G14" i="5" s="1"/>
  <c r="H14" i="5" s="1"/>
  <c r="I14" i="5" s="1"/>
  <c r="J14" i="5" s="1"/>
  <c r="K14" i="5" s="1"/>
  <c r="L14" i="5" s="1"/>
  <c r="A17" i="5" l="1"/>
  <c r="B17" i="5" l="1"/>
  <c r="C17" i="5" s="1"/>
  <c r="D17" i="5" s="1"/>
  <c r="E17" i="5" s="1"/>
  <c r="F17" i="5" s="1"/>
  <c r="G17" i="5" s="1"/>
  <c r="H17" i="5" s="1"/>
  <c r="I17" i="5" s="1"/>
  <c r="J17" i="5" s="1"/>
  <c r="K17" i="5" s="1"/>
  <c r="L17" i="5" s="1"/>
  <c r="B20" i="5"/>
  <c r="C20" i="5" l="1"/>
  <c r="D20" i="5" s="1"/>
  <c r="E20" i="5" s="1"/>
  <c r="F20" i="5" s="1"/>
  <c r="G20" i="5" s="1"/>
  <c r="H20" i="5" s="1"/>
  <c r="I20" i="5" s="1"/>
  <c r="J20" i="5" s="1"/>
  <c r="K20" i="5" s="1"/>
  <c r="B23" i="5" l="1"/>
  <c r="C23" i="5" l="1"/>
  <c r="D23" i="5" s="1"/>
  <c r="E23" i="5" s="1"/>
  <c r="F23" i="5" s="1"/>
  <c r="G23" i="5" s="1"/>
  <c r="H23" i="5" s="1"/>
  <c r="I23" i="5" s="1"/>
  <c r="J23" i="5" s="1"/>
  <c r="K23" i="5" s="1"/>
  <c r="C26" i="5" l="1"/>
  <c r="D26" i="5" l="1"/>
  <c r="E26" i="5" s="1"/>
  <c r="F26" i="5" s="1"/>
  <c r="G26" i="5" s="1"/>
  <c r="H26" i="5" s="1"/>
  <c r="I26" i="5" s="1"/>
  <c r="J26" i="5" s="1"/>
  <c r="E29" i="5" l="1"/>
  <c r="F29" i="5" s="1"/>
  <c r="G29" i="5" s="1"/>
  <c r="H29" i="5" s="1"/>
  <c r="C33" i="4" l="1"/>
  <c r="P65" i="1" l="1"/>
  <c r="Q65" i="1"/>
  <c r="R65" i="1"/>
  <c r="S65" i="1"/>
  <c r="T65" i="1"/>
  <c r="O62" i="1"/>
  <c r="P62" i="1"/>
  <c r="Q62" i="1"/>
  <c r="R62" i="1"/>
  <c r="S62" i="1"/>
  <c r="T62" i="1"/>
  <c r="U62" i="1"/>
  <c r="N59" i="1"/>
  <c r="O59" i="1"/>
  <c r="P59" i="1"/>
  <c r="Q59" i="1"/>
  <c r="R59" i="1"/>
  <c r="S59" i="1"/>
  <c r="T59" i="1"/>
  <c r="U59" i="1"/>
  <c r="V59" i="1"/>
  <c r="N56" i="1"/>
  <c r="O56" i="1"/>
  <c r="P56" i="1"/>
  <c r="Q56" i="1"/>
  <c r="R56" i="1"/>
  <c r="S56" i="1"/>
  <c r="T56" i="1"/>
  <c r="U56" i="1"/>
  <c r="V56" i="1"/>
  <c r="N53" i="1"/>
  <c r="O53" i="1"/>
  <c r="P53" i="1"/>
  <c r="Q53" i="1"/>
  <c r="R53" i="1"/>
  <c r="S53" i="1"/>
  <c r="T53" i="1"/>
  <c r="U53" i="1"/>
  <c r="V53" i="1"/>
  <c r="N50" i="1"/>
  <c r="O50" i="1"/>
  <c r="P50" i="1"/>
  <c r="Q50" i="1"/>
  <c r="R50" i="1"/>
  <c r="S50" i="1"/>
  <c r="T50" i="1"/>
  <c r="U50" i="1"/>
  <c r="V50" i="1"/>
  <c r="N47" i="1"/>
  <c r="O47" i="1"/>
  <c r="P47" i="1"/>
  <c r="Q47" i="1"/>
  <c r="R47" i="1"/>
  <c r="S47" i="1"/>
  <c r="T47" i="1"/>
  <c r="U47" i="1"/>
  <c r="V47" i="1"/>
  <c r="N44" i="1"/>
  <c r="O44" i="1"/>
  <c r="P44" i="1"/>
  <c r="Q44" i="1"/>
  <c r="R44" i="1"/>
  <c r="S44" i="1"/>
  <c r="T44" i="1"/>
  <c r="U44" i="1"/>
  <c r="V44" i="1"/>
  <c r="O41" i="1"/>
  <c r="P41" i="1"/>
  <c r="Q41" i="1"/>
  <c r="R41" i="1"/>
  <c r="S41" i="1"/>
  <c r="T41" i="1"/>
  <c r="U41" i="1"/>
  <c r="P38" i="1"/>
  <c r="Q38" i="1"/>
  <c r="R38" i="1"/>
  <c r="S38" i="1"/>
  <c r="T38" i="1"/>
  <c r="O65" i="1"/>
  <c r="N62" i="1"/>
  <c r="M59" i="1"/>
  <c r="M56" i="1"/>
  <c r="M53" i="1"/>
  <c r="M50" i="1"/>
  <c r="M47" i="1"/>
  <c r="M44" i="1"/>
  <c r="N41" i="1"/>
  <c r="O38" i="1"/>
  <c r="P34" i="1"/>
  <c r="Q34" i="1"/>
  <c r="R34" i="1"/>
  <c r="S34" i="1"/>
  <c r="T34" i="1"/>
  <c r="O31" i="1"/>
  <c r="P31" i="1"/>
  <c r="Q31" i="1"/>
  <c r="R31" i="1"/>
  <c r="S31" i="1"/>
  <c r="T31" i="1"/>
  <c r="U31" i="1"/>
  <c r="N28" i="1"/>
  <c r="O28" i="1"/>
  <c r="P28" i="1"/>
  <c r="Q28" i="1"/>
  <c r="R28" i="1"/>
  <c r="S28" i="1"/>
  <c r="T28" i="1"/>
  <c r="U28" i="1"/>
  <c r="V28" i="1"/>
  <c r="N25" i="1"/>
  <c r="O25" i="1"/>
  <c r="P25" i="1"/>
  <c r="Q25" i="1"/>
  <c r="R25" i="1"/>
  <c r="S25" i="1"/>
  <c r="T25" i="1"/>
  <c r="U25" i="1"/>
  <c r="V25" i="1"/>
  <c r="N22" i="1"/>
  <c r="O22" i="1"/>
  <c r="P22" i="1"/>
  <c r="Q22" i="1"/>
  <c r="R22" i="1"/>
  <c r="S22" i="1"/>
  <c r="T22" i="1"/>
  <c r="U22" i="1"/>
  <c r="V22" i="1"/>
  <c r="N19" i="1"/>
  <c r="O19" i="1"/>
  <c r="P19" i="1"/>
  <c r="Q19" i="1"/>
  <c r="R19" i="1"/>
  <c r="S19" i="1"/>
  <c r="T19" i="1"/>
  <c r="U19" i="1"/>
  <c r="V19" i="1"/>
  <c r="N16" i="1"/>
  <c r="O16" i="1"/>
  <c r="P16" i="1"/>
  <c r="Q16" i="1"/>
  <c r="R16" i="1"/>
  <c r="S16" i="1"/>
  <c r="T16" i="1"/>
  <c r="U16" i="1"/>
  <c r="V16" i="1"/>
  <c r="N13" i="1"/>
  <c r="O13" i="1"/>
  <c r="P13" i="1"/>
  <c r="Q13" i="1"/>
  <c r="R13" i="1"/>
  <c r="S13" i="1"/>
  <c r="T13" i="1"/>
  <c r="U13" i="1"/>
  <c r="V13" i="1"/>
  <c r="O10" i="1"/>
  <c r="P10" i="1"/>
  <c r="Q10" i="1"/>
  <c r="R10" i="1"/>
  <c r="S10" i="1"/>
  <c r="T10" i="1"/>
  <c r="U10" i="1"/>
  <c r="P7" i="1"/>
  <c r="Q7" i="1"/>
  <c r="R7" i="1"/>
  <c r="S7" i="1"/>
  <c r="T7" i="1"/>
  <c r="O34" i="1"/>
  <c r="N31" i="1"/>
  <c r="M28" i="1"/>
  <c r="M25" i="1"/>
  <c r="M22" i="1"/>
  <c r="M19" i="1"/>
  <c r="M16" i="1"/>
  <c r="M13" i="1"/>
  <c r="N10" i="1"/>
  <c r="O7" i="1"/>
  <c r="U2" i="2" l="1"/>
  <c r="R2" i="2"/>
  <c r="J14" i="1" l="1"/>
  <c r="J17" i="1"/>
  <c r="J23" i="1"/>
  <c r="J26" i="1"/>
  <c r="J29" i="1"/>
  <c r="C6" i="1"/>
  <c r="D6" i="1"/>
  <c r="E6" i="1"/>
  <c r="F6" i="1"/>
  <c r="G6" i="1"/>
  <c r="H6" i="1"/>
  <c r="C8" i="1"/>
  <c r="D8" i="1"/>
  <c r="E8" i="1"/>
  <c r="F8" i="1"/>
  <c r="G8" i="1"/>
  <c r="H8" i="1"/>
  <c r="B9" i="1"/>
  <c r="C9" i="1"/>
  <c r="D9" i="1"/>
  <c r="E9" i="1"/>
  <c r="F9" i="1"/>
  <c r="G9" i="1"/>
  <c r="H9" i="1"/>
  <c r="I9" i="1"/>
  <c r="B11" i="1"/>
  <c r="C11" i="1"/>
  <c r="D11" i="1"/>
  <c r="E11" i="1"/>
  <c r="F11" i="1"/>
  <c r="G11" i="1"/>
  <c r="H11" i="1"/>
  <c r="I11" i="1"/>
  <c r="A12" i="1"/>
  <c r="B12" i="1"/>
  <c r="C12" i="1"/>
  <c r="D12" i="1"/>
  <c r="E12" i="1"/>
  <c r="F12" i="1"/>
  <c r="G12" i="1"/>
  <c r="H12" i="1"/>
  <c r="I12" i="1"/>
  <c r="J12" i="1"/>
  <c r="A14" i="1"/>
  <c r="B14" i="1"/>
  <c r="C14" i="1"/>
  <c r="D14" i="1"/>
  <c r="E14" i="1"/>
  <c r="F14" i="1"/>
  <c r="G14" i="1"/>
  <c r="H14" i="1"/>
  <c r="I14" i="1"/>
  <c r="A15" i="1"/>
  <c r="B15" i="1"/>
  <c r="C15" i="1"/>
  <c r="D15" i="1"/>
  <c r="E15" i="1"/>
  <c r="F15" i="1"/>
  <c r="G15" i="1"/>
  <c r="H15" i="1"/>
  <c r="I15" i="1"/>
  <c r="J15" i="1"/>
  <c r="A17" i="1"/>
  <c r="B17" i="1"/>
  <c r="C17" i="1"/>
  <c r="D17" i="1"/>
  <c r="E17" i="1"/>
  <c r="F17" i="1"/>
  <c r="G17" i="1"/>
  <c r="H17" i="1"/>
  <c r="I17" i="1"/>
  <c r="A18" i="1"/>
  <c r="B18" i="1"/>
  <c r="C18" i="1"/>
  <c r="D18" i="1"/>
  <c r="E18" i="1"/>
  <c r="F18" i="1"/>
  <c r="G18" i="1"/>
  <c r="H18" i="1"/>
  <c r="I18" i="1"/>
  <c r="J18" i="1"/>
  <c r="A20" i="1"/>
  <c r="B20" i="1"/>
  <c r="C20" i="1"/>
  <c r="D20" i="1"/>
  <c r="E20" i="1"/>
  <c r="F20" i="1"/>
  <c r="G20" i="1"/>
  <c r="H20" i="1"/>
  <c r="I20" i="1"/>
  <c r="J20" i="1"/>
  <c r="A21" i="1"/>
  <c r="B21" i="1"/>
  <c r="C21" i="1"/>
  <c r="D21" i="1"/>
  <c r="E21" i="1"/>
  <c r="F21" i="1"/>
  <c r="G21" i="1"/>
  <c r="H21" i="1"/>
  <c r="I21" i="1"/>
  <c r="J21" i="1"/>
  <c r="A23" i="1"/>
  <c r="B23" i="1"/>
  <c r="C23" i="1"/>
  <c r="D23" i="1"/>
  <c r="E23" i="1"/>
  <c r="F23" i="1"/>
  <c r="G23" i="1"/>
  <c r="H23" i="1"/>
  <c r="I23" i="1"/>
  <c r="A24" i="1"/>
  <c r="B24" i="1"/>
  <c r="C24" i="1"/>
  <c r="D24" i="1"/>
  <c r="E24" i="1"/>
  <c r="F24" i="1"/>
  <c r="G24" i="1"/>
  <c r="H24" i="1"/>
  <c r="I24" i="1"/>
  <c r="J24" i="1"/>
  <c r="A26" i="1"/>
  <c r="M26" i="1" s="1"/>
  <c r="B26" i="1"/>
  <c r="C26" i="1"/>
  <c r="D26" i="1"/>
  <c r="E26" i="1"/>
  <c r="F26" i="1"/>
  <c r="G26" i="1"/>
  <c r="H26" i="1"/>
  <c r="I26" i="1"/>
  <c r="A27" i="1"/>
  <c r="B27" i="1"/>
  <c r="C27" i="1"/>
  <c r="D27" i="1"/>
  <c r="E27" i="1"/>
  <c r="F27" i="1"/>
  <c r="G27" i="1"/>
  <c r="H27" i="1"/>
  <c r="I27" i="1"/>
  <c r="J27" i="1"/>
  <c r="A29" i="1"/>
  <c r="B29" i="1"/>
  <c r="C29" i="1"/>
  <c r="D29" i="1"/>
  <c r="E29" i="1"/>
  <c r="F29" i="1"/>
  <c r="G29" i="1"/>
  <c r="H29" i="1"/>
  <c r="I29" i="1"/>
  <c r="B30" i="1"/>
  <c r="C30" i="1"/>
  <c r="D30" i="1"/>
  <c r="E30" i="1"/>
  <c r="F30" i="1"/>
  <c r="G30" i="1"/>
  <c r="H30" i="1"/>
  <c r="I30" i="1"/>
  <c r="B36" i="4" l="1"/>
  <c r="B38" i="4"/>
  <c r="A39" i="4"/>
  <c r="B39" i="4"/>
  <c r="A41" i="4"/>
  <c r="B41" i="4"/>
  <c r="A42" i="4"/>
  <c r="B42" i="4"/>
  <c r="A44" i="4"/>
  <c r="B44" i="4"/>
  <c r="A45" i="4"/>
  <c r="B45" i="4"/>
  <c r="A47" i="4"/>
  <c r="B47" i="4"/>
  <c r="A48" i="4"/>
  <c r="B48" i="4"/>
  <c r="A50" i="4"/>
  <c r="B50" i="4"/>
  <c r="A51" i="4"/>
  <c r="B51" i="4"/>
  <c r="A53" i="4"/>
  <c r="B53" i="4"/>
  <c r="A54" i="4"/>
  <c r="B54" i="4"/>
  <c r="A56" i="4"/>
  <c r="B56" i="4"/>
  <c r="B57" i="4"/>
  <c r="B59" i="4"/>
  <c r="H62" i="4" l="1"/>
  <c r="G62" i="4"/>
  <c r="F62" i="4"/>
  <c r="E62" i="4"/>
  <c r="D62" i="4"/>
  <c r="C62" i="4"/>
  <c r="C60" i="4"/>
  <c r="D60" i="4"/>
  <c r="E60" i="4"/>
  <c r="F60" i="4"/>
  <c r="G60" i="4"/>
  <c r="H60" i="4"/>
  <c r="I59" i="4"/>
  <c r="H59" i="4"/>
  <c r="G59" i="4"/>
  <c r="F59" i="4"/>
  <c r="E59" i="4"/>
  <c r="D59" i="4"/>
  <c r="C59" i="4"/>
  <c r="K59" i="4" s="1"/>
  <c r="C57" i="4"/>
  <c r="D57" i="4"/>
  <c r="E57" i="4"/>
  <c r="F57" i="4"/>
  <c r="G57" i="4"/>
  <c r="H57" i="4"/>
  <c r="I57" i="4"/>
  <c r="J56" i="4"/>
  <c r="I56" i="4"/>
  <c r="H56" i="4"/>
  <c r="G56" i="4"/>
  <c r="F56" i="4"/>
  <c r="E56" i="4"/>
  <c r="D56" i="4"/>
  <c r="C56" i="4"/>
  <c r="J54" i="4"/>
  <c r="I54" i="4"/>
  <c r="H54" i="4"/>
  <c r="G54" i="4"/>
  <c r="F54" i="4"/>
  <c r="E54" i="4"/>
  <c r="D54" i="4"/>
  <c r="C54" i="4"/>
  <c r="J53" i="4"/>
  <c r="I53" i="4"/>
  <c r="H53" i="4"/>
  <c r="G53" i="4"/>
  <c r="F53" i="4"/>
  <c r="E53" i="4"/>
  <c r="D53" i="4"/>
  <c r="C53" i="4"/>
  <c r="J51" i="4"/>
  <c r="I51" i="4"/>
  <c r="H51" i="4"/>
  <c r="G51" i="4"/>
  <c r="F51" i="4"/>
  <c r="E51" i="4"/>
  <c r="D51" i="4"/>
  <c r="C51" i="4"/>
  <c r="J50" i="4"/>
  <c r="I50" i="4"/>
  <c r="H50" i="4"/>
  <c r="G50" i="4"/>
  <c r="F50" i="4"/>
  <c r="E50" i="4"/>
  <c r="D50" i="4"/>
  <c r="C50" i="4"/>
  <c r="J48" i="4"/>
  <c r="I48" i="4"/>
  <c r="H48" i="4"/>
  <c r="G48" i="4"/>
  <c r="F48" i="4"/>
  <c r="E48" i="4"/>
  <c r="D48" i="4"/>
  <c r="C48" i="4"/>
  <c r="J47" i="4"/>
  <c r="I47" i="4"/>
  <c r="H47" i="4"/>
  <c r="G47" i="4"/>
  <c r="F47" i="4"/>
  <c r="E47" i="4"/>
  <c r="D47" i="4"/>
  <c r="C47" i="4"/>
  <c r="J45" i="4"/>
  <c r="I45" i="4"/>
  <c r="H45" i="4"/>
  <c r="G45" i="4"/>
  <c r="F45" i="4"/>
  <c r="E45" i="4"/>
  <c r="D45" i="4"/>
  <c r="C45" i="4"/>
  <c r="J44" i="4"/>
  <c r="I44" i="4"/>
  <c r="H44" i="4"/>
  <c r="G44" i="4"/>
  <c r="F44" i="4"/>
  <c r="E44" i="4"/>
  <c r="D44" i="4"/>
  <c r="C44" i="4"/>
  <c r="C42" i="4"/>
  <c r="D42" i="4"/>
  <c r="E42" i="4"/>
  <c r="F42" i="4"/>
  <c r="G42" i="4"/>
  <c r="H42" i="4"/>
  <c r="I42" i="4"/>
  <c r="J42" i="4"/>
  <c r="J41" i="4"/>
  <c r="I41" i="4"/>
  <c r="H41" i="4"/>
  <c r="G41" i="4"/>
  <c r="F41" i="4"/>
  <c r="E41" i="4"/>
  <c r="D41" i="4"/>
  <c r="C41" i="4"/>
  <c r="J39" i="4"/>
  <c r="C39" i="4"/>
  <c r="D39" i="4"/>
  <c r="E39" i="4"/>
  <c r="F39" i="4"/>
  <c r="G39" i="4"/>
  <c r="H39" i="4"/>
  <c r="I39" i="4"/>
  <c r="I38" i="4"/>
  <c r="H38" i="4"/>
  <c r="G38" i="4"/>
  <c r="F38" i="4"/>
  <c r="E38" i="4"/>
  <c r="D38" i="4"/>
  <c r="C38" i="4"/>
  <c r="E36" i="4"/>
  <c r="F36" i="4"/>
  <c r="G36" i="4"/>
  <c r="H36" i="4"/>
  <c r="I36" i="4"/>
  <c r="C36" i="4"/>
  <c r="D36" i="4"/>
  <c r="H35" i="4"/>
  <c r="G35" i="4"/>
  <c r="F35" i="4"/>
  <c r="E35" i="4"/>
  <c r="D35" i="4"/>
  <c r="C35" i="4"/>
  <c r="D33" i="4"/>
  <c r="E33" i="4"/>
  <c r="F33" i="4"/>
  <c r="G33" i="4"/>
  <c r="H33" i="4"/>
  <c r="K56" i="4" l="1"/>
  <c r="K44" i="4"/>
  <c r="K51" i="4"/>
  <c r="K50" i="4"/>
  <c r="K45" i="4"/>
  <c r="K53" i="4"/>
  <c r="K47" i="4"/>
  <c r="K38" i="4"/>
  <c r="K42" i="4"/>
  <c r="K36" i="4"/>
  <c r="K39" i="4"/>
  <c r="K41" i="4"/>
  <c r="K48" i="4"/>
  <c r="K62" i="4"/>
  <c r="K57" i="4"/>
  <c r="K35" i="4"/>
  <c r="K54" i="4"/>
  <c r="K33" i="4"/>
  <c r="K60" i="4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I23" i="3" s="1" a="1"/>
  <c r="I23" i="3" s="1"/>
  <c r="G11" i="3"/>
  <c r="G10" i="3"/>
  <c r="G9" i="3"/>
  <c r="G8" i="3"/>
  <c r="G7" i="3"/>
  <c r="O24" i="3" s="1" a="1"/>
  <c r="O24" i="3" s="1"/>
  <c r="Q6" i="3"/>
  <c r="P6" i="3"/>
  <c r="O6" i="3"/>
  <c r="N6" i="3"/>
  <c r="M6" i="3"/>
  <c r="L6" i="3"/>
  <c r="K6" i="3"/>
  <c r="J6" i="3"/>
  <c r="I6" i="3"/>
  <c r="H6" i="3"/>
  <c r="N34" i="4" l="1"/>
  <c r="I21" i="3" a="1"/>
  <c r="I21" i="3" s="1"/>
  <c r="M8" i="3" a="1"/>
  <c r="M8" i="3" s="1"/>
  <c r="M19" i="3" a="1"/>
  <c r="M19" i="3" s="1"/>
  <c r="K12" i="3" a="1"/>
  <c r="K12" i="3" s="1"/>
  <c r="K14" i="3" a="1"/>
  <c r="K14" i="3" s="1"/>
  <c r="Q19" i="3" a="1"/>
  <c r="Q19" i="3" s="1"/>
  <c r="O21" i="3" a="1"/>
  <c r="O21" i="3" s="1"/>
  <c r="M23" i="3" a="1"/>
  <c r="M23" i="3" s="1"/>
  <c r="Q10" i="3" a="1"/>
  <c r="Q10" i="3" s="1"/>
  <c r="O12" i="3" a="1"/>
  <c r="O12" i="3" s="1"/>
  <c r="M14" i="3" a="1"/>
  <c r="M14" i="3" s="1"/>
  <c r="K16" i="3" a="1"/>
  <c r="K16" i="3" s="1"/>
  <c r="I18" i="3" a="1"/>
  <c r="I18" i="3" s="1"/>
  <c r="K7" i="3" a="1"/>
  <c r="K7" i="3" s="1"/>
  <c r="I9" i="3" a="1"/>
  <c r="I9" i="3" s="1"/>
  <c r="Q21" i="3" a="1"/>
  <c r="Q21" i="3" s="1"/>
  <c r="O23" i="3" a="1"/>
  <c r="O23" i="3" s="1"/>
  <c r="Q12" i="3" a="1"/>
  <c r="Q12" i="3" s="1"/>
  <c r="O14" i="3" a="1"/>
  <c r="O14" i="3" s="1"/>
  <c r="M16" i="3" a="1"/>
  <c r="M16" i="3" s="1"/>
  <c r="K18" i="3" a="1"/>
  <c r="K18" i="3" s="1"/>
  <c r="I20" i="3" a="1"/>
  <c r="I20" i="3" s="1"/>
  <c r="Q23" i="3" a="1"/>
  <c r="Q23" i="3" s="1"/>
  <c r="I22" i="3" a="1"/>
  <c r="I22" i="3" s="1"/>
  <c r="I11" i="3" a="1"/>
  <c r="I11" i="3" s="1"/>
  <c r="O17" i="3" a="1"/>
  <c r="O17" i="3" s="1"/>
  <c r="I24" i="3" a="1"/>
  <c r="I24" i="3" s="1"/>
  <c r="K19" i="3" a="1"/>
  <c r="K19" i="3" s="1"/>
  <c r="Q15" i="3" a="1"/>
  <c r="Q15" i="3" s="1"/>
  <c r="M10" i="3" a="1"/>
  <c r="M10" i="3" s="1"/>
  <c r="Q17" i="3" a="1"/>
  <c r="Q17" i="3" s="1"/>
  <c r="I16" i="3" a="1"/>
  <c r="I16" i="3" s="1"/>
  <c r="I7" i="3" a="1"/>
  <c r="I7" i="3" s="1"/>
  <c r="O16" i="3" a="1"/>
  <c r="O16" i="3" s="1"/>
  <c r="K20" i="3" a="1"/>
  <c r="K20" i="3" s="1"/>
  <c r="M9" i="3" a="1"/>
  <c r="M9" i="3" s="1"/>
  <c r="K11" i="3" a="1"/>
  <c r="K11" i="3" s="1"/>
  <c r="M20" i="3" a="1"/>
  <c r="M20" i="3" s="1"/>
  <c r="Q7" i="3" a="1"/>
  <c r="Q7" i="3" s="1"/>
  <c r="O9" i="3" a="1"/>
  <c r="O9" i="3" s="1"/>
  <c r="M11" i="3" a="1"/>
  <c r="M11" i="3" s="1"/>
  <c r="K13" i="3" a="1"/>
  <c r="K13" i="3" s="1"/>
  <c r="I15" i="3" a="1"/>
  <c r="I15" i="3" s="1"/>
  <c r="Q13" i="3" a="1"/>
  <c r="Q13" i="3" s="1"/>
  <c r="K10" i="3" a="1"/>
  <c r="K10" i="3" s="1"/>
  <c r="K21" i="3" a="1"/>
  <c r="K21" i="3" s="1"/>
  <c r="O8" i="3" a="1"/>
  <c r="O8" i="3" s="1"/>
  <c r="K23" i="3" a="1"/>
  <c r="K23" i="3" s="1"/>
  <c r="M12" i="3" a="1"/>
  <c r="M12" i="3" s="1"/>
  <c r="K9" i="3" a="1"/>
  <c r="K9" i="3" s="1"/>
  <c r="Q14" i="3" a="1"/>
  <c r="Q14" i="3" s="1"/>
  <c r="M18" i="3" a="1"/>
  <c r="M18" i="3" s="1"/>
  <c r="O7" i="3" a="1"/>
  <c r="O7" i="3" s="1"/>
  <c r="I13" i="3" a="1"/>
  <c r="I13" i="3" s="1"/>
  <c r="Q16" i="3" a="1"/>
  <c r="Q16" i="3" s="1"/>
  <c r="O18" i="3" a="1"/>
  <c r="O18" i="3" s="1"/>
  <c r="K22" i="3" a="1"/>
  <c r="K22" i="3" s="1"/>
  <c r="Q18" i="3" a="1"/>
  <c r="Q18" i="3" s="1"/>
  <c r="O20" i="3" a="1"/>
  <c r="O20" i="3" s="1"/>
  <c r="M22" i="3" a="1"/>
  <c r="M22" i="3" s="1"/>
  <c r="K24" i="3" a="1"/>
  <c r="K24" i="3" s="1"/>
  <c r="M17" i="3" a="1"/>
  <c r="M17" i="3" s="1"/>
  <c r="I12" i="3" a="1"/>
  <c r="I12" i="3" s="1"/>
  <c r="I14" i="3" a="1"/>
  <c r="I14" i="3" s="1"/>
  <c r="M21" i="3" a="1"/>
  <c r="M21" i="3" s="1"/>
  <c r="Q8" i="3" a="1"/>
  <c r="Q8" i="3" s="1"/>
  <c r="Q9" i="3" a="1"/>
  <c r="Q9" i="3" s="1"/>
  <c r="M13" i="3" a="1"/>
  <c r="M13" i="3" s="1"/>
  <c r="K15" i="3" a="1"/>
  <c r="K15" i="3" s="1"/>
  <c r="I17" i="3" a="1"/>
  <c r="I17" i="3" s="1"/>
  <c r="M24" i="3" a="1"/>
  <c r="M24" i="3" s="1"/>
  <c r="O15" i="3" a="1"/>
  <c r="O15" i="3" s="1"/>
  <c r="O19" i="3" a="1"/>
  <c r="O19" i="3" s="1"/>
  <c r="O10" i="3" a="1"/>
  <c r="O10" i="3" s="1"/>
  <c r="M7" i="3" a="1"/>
  <c r="M7" i="3" s="1"/>
  <c r="O11" i="3" a="1"/>
  <c r="O11" i="3" s="1"/>
  <c r="I8" i="3" a="1"/>
  <c r="I8" i="3" s="1"/>
  <c r="Q20" i="3" a="1"/>
  <c r="Q20" i="3" s="1"/>
  <c r="O22" i="3" a="1"/>
  <c r="O22" i="3" s="1"/>
  <c r="Q11" i="3" a="1"/>
  <c r="Q11" i="3" s="1"/>
  <c r="O13" i="3" a="1"/>
  <c r="O13" i="3" s="1"/>
  <c r="M15" i="3" a="1"/>
  <c r="M15" i="3" s="1"/>
  <c r="K17" i="3" a="1"/>
  <c r="K17" i="3" s="1"/>
  <c r="I19" i="3" a="1"/>
  <c r="I19" i="3" s="1"/>
  <c r="K8" i="3" a="1"/>
  <c r="K8" i="3" s="1"/>
  <c r="I10" i="3" a="1"/>
  <c r="I10" i="3" s="1"/>
  <c r="Q22" i="3" a="1"/>
  <c r="Q22" i="3" s="1"/>
  <c r="Q24" i="3" a="1"/>
  <c r="Q24" i="3" s="1"/>
  <c r="I32" i="1"/>
  <c r="U32" i="1" l="1"/>
  <c r="U61" i="1" s="1"/>
  <c r="U9" i="1"/>
  <c r="U42" i="1" s="1"/>
  <c r="T9" i="1"/>
  <c r="T42" i="1" s="1"/>
  <c r="S9" i="1"/>
  <c r="S42" i="1" s="1"/>
  <c r="R9" i="1"/>
  <c r="R42" i="1" s="1"/>
  <c r="Q9" i="1"/>
  <c r="Q42" i="1" s="1"/>
  <c r="P9" i="1"/>
  <c r="P42" i="1" s="1"/>
  <c r="O9" i="1"/>
  <c r="O42" i="1" s="1"/>
  <c r="N9" i="1"/>
  <c r="N42" i="1" s="1"/>
  <c r="V12" i="1"/>
  <c r="V45" i="1" s="1"/>
  <c r="U12" i="1"/>
  <c r="U45" i="1" s="1"/>
  <c r="T12" i="1"/>
  <c r="T45" i="1" s="1"/>
  <c r="S12" i="1"/>
  <c r="S45" i="1" s="1"/>
  <c r="R12" i="1"/>
  <c r="R45" i="1" s="1"/>
  <c r="Q12" i="1"/>
  <c r="Q45" i="1" s="1"/>
  <c r="P12" i="1"/>
  <c r="P45" i="1" s="1"/>
  <c r="O12" i="1"/>
  <c r="O45" i="1" s="1"/>
  <c r="N12" i="1"/>
  <c r="N45" i="1" s="1"/>
  <c r="M12" i="1"/>
  <c r="M45" i="1" s="1"/>
  <c r="V15" i="1"/>
  <c r="V48" i="1" s="1"/>
  <c r="U15" i="1"/>
  <c r="U48" i="1" s="1"/>
  <c r="T15" i="1"/>
  <c r="T48" i="1" s="1"/>
  <c r="S15" i="1"/>
  <c r="S48" i="1" s="1"/>
  <c r="R15" i="1"/>
  <c r="R48" i="1" s="1"/>
  <c r="Q15" i="1"/>
  <c r="Q48" i="1" s="1"/>
  <c r="P15" i="1"/>
  <c r="P48" i="1" s="1"/>
  <c r="O15" i="1"/>
  <c r="O48" i="1" s="1"/>
  <c r="N15" i="1"/>
  <c r="N48" i="1" s="1"/>
  <c r="M15" i="1"/>
  <c r="M48" i="1" s="1"/>
  <c r="V18" i="1"/>
  <c r="V51" i="1" s="1"/>
  <c r="U18" i="1"/>
  <c r="U51" i="1" s="1"/>
  <c r="T18" i="1"/>
  <c r="T51" i="1" s="1"/>
  <c r="S18" i="1"/>
  <c r="S51" i="1" s="1"/>
  <c r="R18" i="1"/>
  <c r="R51" i="1" s="1"/>
  <c r="Q18" i="1"/>
  <c r="Q51" i="1" s="1"/>
  <c r="P18" i="1"/>
  <c r="P51" i="1" s="1"/>
  <c r="O18" i="1"/>
  <c r="O51" i="1" s="1"/>
  <c r="N18" i="1"/>
  <c r="N51" i="1" s="1"/>
  <c r="M18" i="1"/>
  <c r="M51" i="1" s="1"/>
  <c r="V21" i="1"/>
  <c r="V54" i="1" s="1"/>
  <c r="U21" i="1"/>
  <c r="U54" i="1" s="1"/>
  <c r="T21" i="1"/>
  <c r="T54" i="1" s="1"/>
  <c r="S21" i="1"/>
  <c r="S54" i="1" s="1"/>
  <c r="R21" i="1"/>
  <c r="R54" i="1" s="1"/>
  <c r="Q21" i="1"/>
  <c r="Q54" i="1" s="1"/>
  <c r="P21" i="1"/>
  <c r="P54" i="1" s="1"/>
  <c r="O21" i="1"/>
  <c r="O54" i="1" s="1"/>
  <c r="N21" i="1"/>
  <c r="N54" i="1" s="1"/>
  <c r="M21" i="1"/>
  <c r="M54" i="1" s="1"/>
  <c r="V24" i="1"/>
  <c r="V57" i="1" s="1"/>
  <c r="U24" i="1"/>
  <c r="U57" i="1" s="1"/>
  <c r="T24" i="1"/>
  <c r="T57" i="1" s="1"/>
  <c r="S24" i="1"/>
  <c r="S57" i="1" s="1"/>
  <c r="R24" i="1"/>
  <c r="R57" i="1" s="1"/>
  <c r="Q24" i="1"/>
  <c r="Q57" i="1" s="1"/>
  <c r="P24" i="1"/>
  <c r="P57" i="1" s="1"/>
  <c r="O24" i="1"/>
  <c r="O57" i="1" s="1"/>
  <c r="N24" i="1"/>
  <c r="N57" i="1" s="1"/>
  <c r="M24" i="1"/>
  <c r="M57" i="1" s="1"/>
  <c r="V27" i="1"/>
  <c r="V60" i="1" s="1"/>
  <c r="M27" i="1"/>
  <c r="M60" i="1" s="1"/>
  <c r="U27" i="1"/>
  <c r="U60" i="1" s="1"/>
  <c r="T27" i="1"/>
  <c r="T60" i="1" s="1"/>
  <c r="S27" i="1"/>
  <c r="S60" i="1" s="1"/>
  <c r="R27" i="1"/>
  <c r="R60" i="1" s="1"/>
  <c r="Q27" i="1"/>
  <c r="Q60" i="1" s="1"/>
  <c r="P27" i="1"/>
  <c r="P60" i="1" s="1"/>
  <c r="O27" i="1"/>
  <c r="O60" i="1" s="1"/>
  <c r="N27" i="1"/>
  <c r="N60" i="1" s="1"/>
  <c r="U30" i="1"/>
  <c r="U63" i="1" s="1"/>
  <c r="T30" i="1"/>
  <c r="T63" i="1" s="1"/>
  <c r="S30" i="1"/>
  <c r="S63" i="1" s="1"/>
  <c r="R30" i="1"/>
  <c r="R63" i="1" s="1"/>
  <c r="Q30" i="1"/>
  <c r="Q63" i="1" s="1"/>
  <c r="P30" i="1"/>
  <c r="P63" i="1" s="1"/>
  <c r="O30" i="1"/>
  <c r="O63" i="1" s="1"/>
  <c r="N30" i="1"/>
  <c r="N63" i="1" s="1"/>
  <c r="P8" i="1"/>
  <c r="P37" i="1" s="1"/>
  <c r="Q8" i="1"/>
  <c r="Q37" i="1" s="1"/>
  <c r="R8" i="1"/>
  <c r="R37" i="1" s="1"/>
  <c r="S8" i="1"/>
  <c r="S37" i="1" s="1"/>
  <c r="T8" i="1"/>
  <c r="T37" i="1" s="1"/>
  <c r="N11" i="1"/>
  <c r="N40" i="1" s="1"/>
  <c r="P11" i="1"/>
  <c r="P40" i="1" s="1"/>
  <c r="Q11" i="1"/>
  <c r="Q40" i="1" s="1"/>
  <c r="R11" i="1"/>
  <c r="R40" i="1" s="1"/>
  <c r="S11" i="1"/>
  <c r="S40" i="1" s="1"/>
  <c r="T11" i="1"/>
  <c r="T40" i="1" s="1"/>
  <c r="U11" i="1"/>
  <c r="U40" i="1" s="1"/>
  <c r="M14" i="1"/>
  <c r="M43" i="1" s="1"/>
  <c r="N14" i="1"/>
  <c r="N43" i="1" s="1"/>
  <c r="P14" i="1"/>
  <c r="P43" i="1" s="1"/>
  <c r="Q14" i="1"/>
  <c r="Q43" i="1" s="1"/>
  <c r="R14" i="1"/>
  <c r="R43" i="1" s="1"/>
  <c r="S14" i="1"/>
  <c r="S43" i="1" s="1"/>
  <c r="T14" i="1"/>
  <c r="T43" i="1" s="1"/>
  <c r="U14" i="1"/>
  <c r="U43" i="1" s="1"/>
  <c r="V14" i="1"/>
  <c r="V43" i="1" s="1"/>
  <c r="M17" i="1"/>
  <c r="M46" i="1" s="1"/>
  <c r="N17" i="1"/>
  <c r="N46" i="1" s="1"/>
  <c r="P17" i="1"/>
  <c r="P46" i="1" s="1"/>
  <c r="Q17" i="1"/>
  <c r="Q46" i="1" s="1"/>
  <c r="R17" i="1"/>
  <c r="R46" i="1" s="1"/>
  <c r="S17" i="1"/>
  <c r="S46" i="1" s="1"/>
  <c r="T17" i="1"/>
  <c r="T46" i="1" s="1"/>
  <c r="U17" i="1"/>
  <c r="U46" i="1" s="1"/>
  <c r="V17" i="1"/>
  <c r="V46" i="1" s="1"/>
  <c r="M20" i="1"/>
  <c r="M49" i="1" s="1"/>
  <c r="N20" i="1"/>
  <c r="N49" i="1" s="1"/>
  <c r="P20" i="1"/>
  <c r="P49" i="1" s="1"/>
  <c r="Q20" i="1"/>
  <c r="Q49" i="1" s="1"/>
  <c r="R20" i="1"/>
  <c r="R49" i="1" s="1"/>
  <c r="S20" i="1"/>
  <c r="S49" i="1" s="1"/>
  <c r="T20" i="1"/>
  <c r="T49" i="1" s="1"/>
  <c r="U20" i="1"/>
  <c r="U49" i="1" s="1"/>
  <c r="V20" i="1"/>
  <c r="V49" i="1" s="1"/>
  <c r="M23" i="1"/>
  <c r="M52" i="1" s="1"/>
  <c r="N23" i="1"/>
  <c r="N52" i="1" s="1"/>
  <c r="P23" i="1"/>
  <c r="P52" i="1" s="1"/>
  <c r="Q23" i="1"/>
  <c r="Q52" i="1" s="1"/>
  <c r="R23" i="1"/>
  <c r="R52" i="1" s="1"/>
  <c r="S23" i="1"/>
  <c r="S52" i="1" s="1"/>
  <c r="T23" i="1"/>
  <c r="T52" i="1" s="1"/>
  <c r="U23" i="1"/>
  <c r="U52" i="1" s="1"/>
  <c r="V23" i="1"/>
  <c r="V52" i="1" s="1"/>
  <c r="M55" i="1"/>
  <c r="N26" i="1"/>
  <c r="N55" i="1" s="1"/>
  <c r="P26" i="1"/>
  <c r="P55" i="1" s="1"/>
  <c r="Q26" i="1"/>
  <c r="Q55" i="1" s="1"/>
  <c r="R26" i="1"/>
  <c r="R55" i="1" s="1"/>
  <c r="S26" i="1"/>
  <c r="S55" i="1" s="1"/>
  <c r="T26" i="1"/>
  <c r="T55" i="1" s="1"/>
  <c r="U26" i="1"/>
  <c r="U55" i="1" s="1"/>
  <c r="V26" i="1"/>
  <c r="V55" i="1" s="1"/>
  <c r="M29" i="1"/>
  <c r="M58" i="1" s="1"/>
  <c r="N29" i="1"/>
  <c r="N58" i="1" s="1"/>
  <c r="P29" i="1"/>
  <c r="P58" i="1" s="1"/>
  <c r="Q29" i="1"/>
  <c r="Q58" i="1" s="1"/>
  <c r="R29" i="1"/>
  <c r="R58" i="1" s="1"/>
  <c r="S29" i="1"/>
  <c r="S58" i="1" s="1"/>
  <c r="T29" i="1"/>
  <c r="T58" i="1" s="1"/>
  <c r="U29" i="1"/>
  <c r="U58" i="1" s="1"/>
  <c r="V29" i="1"/>
  <c r="V58" i="1" s="1"/>
  <c r="B32" i="1"/>
  <c r="N32" i="1" s="1"/>
  <c r="N61" i="1" s="1"/>
  <c r="D32" i="1"/>
  <c r="P32" i="1" s="1"/>
  <c r="P61" i="1" s="1"/>
  <c r="E32" i="1"/>
  <c r="Q32" i="1" s="1"/>
  <c r="Q61" i="1" s="1"/>
  <c r="F32" i="1"/>
  <c r="R32" i="1" s="1"/>
  <c r="R61" i="1" s="1"/>
  <c r="G32" i="1"/>
  <c r="S32" i="1" s="1"/>
  <c r="S61" i="1" s="1"/>
  <c r="H32" i="1"/>
  <c r="T32" i="1" s="1"/>
  <c r="T61" i="1" s="1"/>
  <c r="D35" i="1"/>
  <c r="P35" i="1" s="1"/>
  <c r="P64" i="1" s="1"/>
  <c r="E35" i="1"/>
  <c r="Q35" i="1" s="1"/>
  <c r="Q64" i="1" s="1"/>
  <c r="F35" i="1"/>
  <c r="R35" i="1" s="1"/>
  <c r="R64" i="1" s="1"/>
  <c r="G35" i="1"/>
  <c r="S35" i="1" s="1"/>
  <c r="S64" i="1" s="1"/>
  <c r="H35" i="1"/>
  <c r="T35" i="1" s="1"/>
  <c r="T64" i="1" s="1"/>
  <c r="C35" i="1"/>
  <c r="O35" i="1" s="1"/>
  <c r="O64" i="1" s="1"/>
  <c r="C32" i="1"/>
  <c r="O32" i="1" s="1"/>
  <c r="O61" i="1" s="1"/>
  <c r="O29" i="1"/>
  <c r="O58" i="1" s="1"/>
  <c r="O26" i="1"/>
  <c r="O55" i="1" s="1"/>
  <c r="O23" i="1"/>
  <c r="O52" i="1" s="1"/>
  <c r="O20" i="1"/>
  <c r="O49" i="1" s="1"/>
  <c r="O17" i="1"/>
  <c r="O46" i="1" s="1"/>
  <c r="O14" i="1"/>
  <c r="O43" i="1" s="1"/>
  <c r="O11" i="1"/>
  <c r="O40" i="1" s="1"/>
  <c r="O8" i="1"/>
  <c r="O37" i="1" s="1"/>
  <c r="T33" i="1"/>
  <c r="T66" i="1" s="1"/>
  <c r="S33" i="1"/>
  <c r="S66" i="1" s="1"/>
  <c r="R33" i="1"/>
  <c r="R66" i="1" s="1"/>
  <c r="Q33" i="1"/>
  <c r="Q66" i="1" s="1"/>
  <c r="P33" i="1"/>
  <c r="P66" i="1" s="1"/>
  <c r="O33" i="1"/>
  <c r="O66" i="1" s="1"/>
  <c r="C33" i="1"/>
  <c r="D33" i="1"/>
  <c r="P6" i="1" s="1"/>
  <c r="P39" i="1" s="1"/>
  <c r="E33" i="1"/>
  <c r="Q6" i="1" s="1"/>
  <c r="Q39" i="1" s="1"/>
  <c r="F33" i="1"/>
  <c r="R6" i="1" s="1"/>
  <c r="R39" i="1" s="1"/>
  <c r="G33" i="1"/>
  <c r="S6" i="1" s="1"/>
  <c r="S39" i="1" s="1"/>
  <c r="H33" i="1"/>
  <c r="T6" i="1" s="1"/>
  <c r="T39" i="1" s="1"/>
  <c r="O6" i="1" l="1"/>
  <c r="O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<sst xmlns="http://schemas.openxmlformats.org/spreadsheetml/2006/main" count="838" uniqueCount="201">
  <si>
    <t>Die 1</t>
  </si>
  <si>
    <t>Die 2</t>
  </si>
  <si>
    <t>Die 3</t>
  </si>
  <si>
    <t>Die 4</t>
  </si>
  <si>
    <t>Die 5</t>
  </si>
  <si>
    <t>Die 6</t>
  </si>
  <si>
    <t>Die 7</t>
  </si>
  <si>
    <t>Die 8</t>
  </si>
  <si>
    <t>Die 9</t>
  </si>
  <si>
    <t>Die 10</t>
  </si>
  <si>
    <t>Die 11</t>
  </si>
  <si>
    <t>Die 12</t>
  </si>
  <si>
    <t>Die 13</t>
  </si>
  <si>
    <t>Die 14</t>
  </si>
  <si>
    <t>Die 15</t>
  </si>
  <si>
    <t>Die 16</t>
  </si>
  <si>
    <t>Die 17</t>
  </si>
  <si>
    <t>Die 18</t>
  </si>
  <si>
    <t>Die 19</t>
  </si>
  <si>
    <t>Die 20</t>
  </si>
  <si>
    <t>Die 21</t>
  </si>
  <si>
    <t>Die 22</t>
  </si>
  <si>
    <t>Die 23</t>
  </si>
  <si>
    <t>Die 24</t>
  </si>
  <si>
    <t>Die 25</t>
  </si>
  <si>
    <t>Die 26</t>
  </si>
  <si>
    <t>Die 27</t>
  </si>
  <si>
    <t>Die 28</t>
  </si>
  <si>
    <t>Die 29</t>
  </si>
  <si>
    <t>Die 30</t>
  </si>
  <si>
    <t>Die 31</t>
  </si>
  <si>
    <t>Die 32</t>
  </si>
  <si>
    <t>Die 33</t>
  </si>
  <si>
    <t>Die 34</t>
  </si>
  <si>
    <t>Die 35</t>
  </si>
  <si>
    <t>Die 36</t>
  </si>
  <si>
    <t>Die 37</t>
  </si>
  <si>
    <t>Die 38</t>
  </si>
  <si>
    <t>Die 39</t>
  </si>
  <si>
    <t>Die 40</t>
  </si>
  <si>
    <t>Die 41</t>
  </si>
  <si>
    <t>Die 42</t>
  </si>
  <si>
    <t>Die 43</t>
  </si>
  <si>
    <t>Die 44</t>
  </si>
  <si>
    <t>Die 45</t>
  </si>
  <si>
    <t>Die 46</t>
  </si>
  <si>
    <t>Die 47</t>
  </si>
  <si>
    <t>Die 48</t>
  </si>
  <si>
    <t>Die 49</t>
  </si>
  <si>
    <t>Die 50</t>
  </si>
  <si>
    <t>Die 51</t>
  </si>
  <si>
    <t>Die 52</t>
  </si>
  <si>
    <t>Die 53</t>
  </si>
  <si>
    <t>Die 54</t>
  </si>
  <si>
    <t>Die 55</t>
  </si>
  <si>
    <t>Die 56</t>
  </si>
  <si>
    <t>Die 57</t>
  </si>
  <si>
    <t>Die 58</t>
  </si>
  <si>
    <t>Die 59</t>
  </si>
  <si>
    <t>Die 60</t>
  </si>
  <si>
    <t>Die 61</t>
  </si>
  <si>
    <t>Die 62</t>
  </si>
  <si>
    <t>Die 63</t>
  </si>
  <si>
    <t>Die 64</t>
  </si>
  <si>
    <t>Die 65</t>
  </si>
  <si>
    <t>Die 66</t>
  </si>
  <si>
    <t>Die 67</t>
  </si>
  <si>
    <t>Die 68</t>
  </si>
  <si>
    <t>Die 69</t>
  </si>
  <si>
    <t>Die 70</t>
  </si>
  <si>
    <t>Die 71</t>
  </si>
  <si>
    <t>Die 72</t>
  </si>
  <si>
    <t>Die 73</t>
  </si>
  <si>
    <t>Die 74</t>
  </si>
  <si>
    <t>Die 75</t>
  </si>
  <si>
    <t>Die 76</t>
  </si>
  <si>
    <t>Die 77</t>
  </si>
  <si>
    <t>Die 78</t>
  </si>
  <si>
    <t>Die 79</t>
  </si>
  <si>
    <t>Die 80</t>
  </si>
  <si>
    <t>Die 81</t>
  </si>
  <si>
    <t>Die 82</t>
  </si>
  <si>
    <t>Die 83</t>
  </si>
  <si>
    <t>Die 84</t>
  </si>
  <si>
    <t>Die 85</t>
  </si>
  <si>
    <t>Die 86</t>
  </si>
  <si>
    <t>Die 87</t>
  </si>
  <si>
    <t>Die 88</t>
  </si>
  <si>
    <t/>
  </si>
  <si>
    <t>Bothside</t>
  </si>
  <si>
    <t>FRONT</t>
  </si>
  <si>
    <t>BACK</t>
  </si>
  <si>
    <t>p4p2</t>
  </si>
  <si>
    <t>p4p1</t>
  </si>
  <si>
    <t>p4p0</t>
  </si>
  <si>
    <t>p4n1</t>
  </si>
  <si>
    <t>p4n2</t>
  </si>
  <si>
    <t>p4n3</t>
  </si>
  <si>
    <t>p3p3</t>
  </si>
  <si>
    <t>p3p2</t>
  </si>
  <si>
    <t>p3p1</t>
  </si>
  <si>
    <t>p3p0</t>
  </si>
  <si>
    <t>p3n1</t>
  </si>
  <si>
    <t>p3n2</t>
  </si>
  <si>
    <t>p3n3</t>
  </si>
  <si>
    <t>p3n4</t>
  </si>
  <si>
    <t>p2p4</t>
  </si>
  <si>
    <t>p2p3</t>
  </si>
  <si>
    <t>p2p2</t>
  </si>
  <si>
    <t>p2p1</t>
  </si>
  <si>
    <t>p2p0</t>
  </si>
  <si>
    <t>p2n1</t>
  </si>
  <si>
    <t>p2n2</t>
  </si>
  <si>
    <t>p2n3</t>
  </si>
  <si>
    <t>p2n4</t>
  </si>
  <si>
    <t>p2n5</t>
  </si>
  <si>
    <t>p1p4</t>
  </si>
  <si>
    <t>p1p3</t>
  </si>
  <si>
    <t>p1p2</t>
  </si>
  <si>
    <t>p1p1</t>
  </si>
  <si>
    <t>p1p0</t>
  </si>
  <si>
    <t>p1n1</t>
  </si>
  <si>
    <t>p1n2</t>
  </si>
  <si>
    <t>p1n3</t>
  </si>
  <si>
    <t>p1n4</t>
  </si>
  <si>
    <t>p1n5</t>
  </si>
  <si>
    <t>p0p4</t>
  </si>
  <si>
    <t>p0p3</t>
  </si>
  <si>
    <t>p0p2</t>
  </si>
  <si>
    <t>p0p1</t>
  </si>
  <si>
    <t>p0p0</t>
  </si>
  <si>
    <t>p0n1</t>
  </si>
  <si>
    <t>p0n2</t>
  </si>
  <si>
    <t>p0n3</t>
  </si>
  <si>
    <t>p0n4</t>
  </si>
  <si>
    <t>p0n5</t>
  </si>
  <si>
    <t>n1p4</t>
  </si>
  <si>
    <t>n1p3</t>
  </si>
  <si>
    <t>n1p2</t>
  </si>
  <si>
    <t>n1p1</t>
  </si>
  <si>
    <t>n1p0</t>
  </si>
  <si>
    <t>n1n1</t>
  </si>
  <si>
    <t>n1n2</t>
  </si>
  <si>
    <t>n1n3</t>
  </si>
  <si>
    <t>n1n4</t>
  </si>
  <si>
    <t>n1n5</t>
  </si>
  <si>
    <t>n2p4</t>
  </si>
  <si>
    <t>n2p3</t>
  </si>
  <si>
    <t>n2p2</t>
  </si>
  <si>
    <t>n2p1</t>
  </si>
  <si>
    <t>n2p0</t>
  </si>
  <si>
    <t>n2n1</t>
  </si>
  <si>
    <t>n2n2</t>
  </si>
  <si>
    <t>n2n3</t>
  </si>
  <si>
    <t>n2n4</t>
  </si>
  <si>
    <t>n2n5</t>
  </si>
  <si>
    <t>n3p4</t>
  </si>
  <si>
    <t>n3p3</t>
  </si>
  <si>
    <t>n3p2</t>
  </si>
  <si>
    <t>n3p1</t>
  </si>
  <si>
    <t>n3p0</t>
  </si>
  <si>
    <t>n3n1</t>
  </si>
  <si>
    <t>n3n2</t>
  </si>
  <si>
    <t>n3n3</t>
  </si>
  <si>
    <t>n3n4</t>
  </si>
  <si>
    <t>n3n5</t>
  </si>
  <si>
    <t>n4p3</t>
  </si>
  <si>
    <t>n4p2</t>
  </si>
  <si>
    <t>n4p1</t>
  </si>
  <si>
    <t>n4p0</t>
  </si>
  <si>
    <t>n4n1</t>
  </si>
  <si>
    <t>n4n2</t>
  </si>
  <si>
    <t>n4n3</t>
  </si>
  <si>
    <t>n4n4</t>
  </si>
  <si>
    <t>n5p2</t>
  </si>
  <si>
    <t>n5p1</t>
  </si>
  <si>
    <t>n5p0</t>
  </si>
  <si>
    <t>n5n1</t>
  </si>
  <si>
    <t>n5n2</t>
  </si>
  <si>
    <t>n5n3</t>
  </si>
  <si>
    <t>Greater of the two entries in either WM above</t>
  </si>
  <si>
    <t>FLAT</t>
  </si>
  <si>
    <t>V-Max Safe</t>
  </si>
  <si>
    <t>excess of M34 value.</t>
  </si>
  <si>
    <t>Red Threshold</t>
  </si>
  <si>
    <t>Topside Down, SMU3 probe</t>
  </si>
  <si>
    <t>Check 1</t>
  </si>
  <si>
    <t>Check 2</t>
  </si>
  <si>
    <t>Check 3</t>
  </si>
  <si>
    <t>Check 4</t>
  </si>
  <si>
    <t>&lt;----&gt;</t>
  </si>
  <si>
    <t>Topside Flipped Along Red Axis</t>
  </si>
  <si>
    <t>Circumstance 2</t>
  </si>
  <si>
    <t>Circumstance 3</t>
  </si>
  <si>
    <t>Circumstance 4</t>
  </si>
  <si>
    <t>Over Threshold</t>
  </si>
  <si>
    <t>not including  measurements in</t>
  </si>
  <si>
    <r>
      <rPr>
        <sz val="8"/>
        <color theme="4"/>
        <rFont val="Calibri"/>
        <family val="2"/>
        <scheme val="minor"/>
      </rPr>
      <t>Front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FFC000"/>
        <rFont val="Calibri"/>
        <family val="2"/>
        <scheme val="minor"/>
      </rPr>
      <t>Rear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Both</t>
    </r>
  </si>
  <si>
    <t>2 Pins</t>
  </si>
  <si>
    <t>F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</si>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</sst>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&quot;Die &quot;0"/>
  </numFmts>
  <fonts count="2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4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color rgb="FFFFC000"/>
      <name val="Calibri"/>
      <family val="2"/>
      <scheme val="minor"/>
    </font>
    <font>
      <sz val="12"/>
      <name val="Calibri"/>
      <family val="2"/>
      <scheme val="minor"/>
    </font>
    <font>
      <sz val="10"/>
      <color theme="0"/>
      <name val="Abadi"/>
      <family val="2"/>
    </font>
    <font>
      <sz val="18"/>
      <color theme="0"/>
      <name val="Arial Black"/>
      <family val="2"/>
    </font>
    <font>
      <sz val="12"/>
      <color theme="0"/>
      <name val="Calibri"/>
      <family val="2"/>
      <scheme val="minor"/>
    </font>
    <font>
      <sz val="10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1" tint="0.249977111117893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rgb="FFFF0000"/>
      </bottom>
      <diagonal/>
    </border>
    <border>
      <left style="medium">
        <color indexed="64"/>
      </left>
      <right style="medium">
        <color rgb="FFFF0000"/>
      </right>
      <top style="medium">
        <color indexed="64"/>
      </top>
      <bottom/>
      <diagonal/>
    </border>
    <border>
      <left style="medium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 style="medium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0" fontId="0" fillId="2" borderId="2" xfId="0" applyFill="1" applyBorder="1"/>
    <xf numFmtId="0" fontId="0" fillId="2" borderId="0" xfId="0" applyFill="1"/>
    <xf numFmtId="2" fontId="0" fillId="0" borderId="0" xfId="0" applyNumberFormat="1"/>
    <xf numFmtId="164" fontId="2" fillId="0" borderId="4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64" fontId="2" fillId="3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10" xfId="0" applyBorder="1"/>
    <xf numFmtId="0" fontId="0" fillId="4" borderId="11" xfId="0" applyFill="1" applyBorder="1"/>
    <xf numFmtId="1" fontId="0" fillId="0" borderId="12" xfId="0" applyNumberFormat="1" applyBorder="1" applyAlignment="1">
      <alignment horizontal="center"/>
    </xf>
    <xf numFmtId="0" fontId="0" fillId="0" borderId="11" xfId="0" applyBorder="1"/>
    <xf numFmtId="0" fontId="0" fillId="0" borderId="13" xfId="0" applyBorder="1" applyAlignment="1">
      <alignment vertical="center"/>
    </xf>
    <xf numFmtId="2" fontId="3" fillId="0" borderId="14" xfId="0" applyNumberFormat="1" applyFont="1" applyBorder="1" applyAlignment="1">
      <alignment horizontal="center" vertical="center"/>
    </xf>
    <xf numFmtId="0" fontId="0" fillId="0" borderId="13" xfId="0" applyBorder="1" applyAlignment="1">
      <alignment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2" fontId="3" fillId="0" borderId="13" xfId="0" applyNumberFormat="1" applyFont="1" applyBorder="1" applyAlignment="1">
      <alignment horizontal="center" vertical="center"/>
    </xf>
    <xf numFmtId="2" fontId="4" fillId="0" borderId="13" xfId="0" applyNumberFormat="1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0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2" fontId="0" fillId="0" borderId="16" xfId="0" applyNumberFormat="1" applyBorder="1"/>
    <xf numFmtId="2" fontId="0" fillId="0" borderId="17" xfId="0" applyNumberFormat="1" applyBorder="1"/>
    <xf numFmtId="2" fontId="7" fillId="0" borderId="0" xfId="0" applyNumberFormat="1" applyFont="1"/>
    <xf numFmtId="2" fontId="8" fillId="0" borderId="15" xfId="0" applyNumberFormat="1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0" fillId="9" borderId="11" xfId="0" applyFill="1" applyBorder="1"/>
    <xf numFmtId="0" fontId="0" fillId="9" borderId="26" xfId="0" applyFill="1" applyBorder="1"/>
    <xf numFmtId="0" fontId="0" fillId="9" borderId="0" xfId="0" applyFill="1"/>
    <xf numFmtId="0" fontId="0" fillId="9" borderId="10" xfId="0" applyFill="1" applyBorder="1"/>
    <xf numFmtId="0" fontId="0" fillId="9" borderId="27" xfId="0" applyFill="1" applyBorder="1"/>
    <xf numFmtId="0" fontId="0" fillId="9" borderId="12" xfId="0" applyFill="1" applyBorder="1"/>
    <xf numFmtId="0" fontId="0" fillId="0" borderId="3" xfId="0" applyBorder="1"/>
    <xf numFmtId="2" fontId="0" fillId="0" borderId="28" xfId="0" applyNumberFormat="1" applyBorder="1"/>
    <xf numFmtId="164" fontId="0" fillId="8" borderId="15" xfId="0" applyNumberFormat="1" applyFill="1" applyBorder="1" applyAlignment="1">
      <alignment horizontal="center" vertical="center"/>
    </xf>
    <xf numFmtId="2" fontId="0" fillId="0" borderId="15" xfId="0" applyNumberFormat="1" applyBorder="1"/>
    <xf numFmtId="0" fontId="0" fillId="9" borderId="25" xfId="0" applyFill="1" applyBorder="1"/>
    <xf numFmtId="0" fontId="0" fillId="2" borderId="15" xfId="0" applyFill="1" applyBorder="1"/>
    <xf numFmtId="0" fontId="0" fillId="2" borderId="13" xfId="0" applyFill="1" applyBorder="1"/>
    <xf numFmtId="2" fontId="0" fillId="0" borderId="13" xfId="0" applyNumberFormat="1" applyBorder="1"/>
    <xf numFmtId="164" fontId="0" fillId="8" borderId="13" xfId="0" applyNumberFormat="1" applyFill="1" applyBorder="1" applyAlignment="1">
      <alignment horizontal="center" vertical="center"/>
    </xf>
    <xf numFmtId="2" fontId="0" fillId="0" borderId="14" xfId="0" applyNumberFormat="1" applyBorder="1"/>
    <xf numFmtId="0" fontId="0" fillId="2" borderId="14" xfId="0" applyFill="1" applyBorder="1"/>
    <xf numFmtId="0" fontId="0" fillId="2" borderId="16" xfId="0" applyFill="1" applyBorder="1"/>
    <xf numFmtId="0" fontId="0" fillId="2" borderId="17" xfId="0" applyFill="1" applyBorder="1"/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2" fontId="0" fillId="0" borderId="19" xfId="0" applyNumberFormat="1" applyBorder="1"/>
    <xf numFmtId="164" fontId="2" fillId="3" borderId="5" xfId="0" applyNumberFormat="1" applyFont="1" applyFill="1" applyBorder="1" applyAlignment="1">
      <alignment horizontal="center" vertical="center"/>
    </xf>
    <xf numFmtId="2" fontId="0" fillId="0" borderId="24" xfId="0" applyNumberFormat="1" applyBorder="1"/>
    <xf numFmtId="2" fontId="0" fillId="0" borderId="20" xfId="0" applyNumberFormat="1" applyBorder="1"/>
    <xf numFmtId="2" fontId="0" fillId="0" borderId="29" xfId="0" applyNumberFormat="1" applyBorder="1"/>
    <xf numFmtId="164" fontId="2" fillId="3" borderId="30" xfId="0" applyNumberFormat="1" applyFont="1" applyFill="1" applyBorder="1" applyAlignment="1">
      <alignment horizontal="center" vertical="center"/>
    </xf>
    <xf numFmtId="2" fontId="0" fillId="0" borderId="31" xfId="0" applyNumberFormat="1" applyBorder="1"/>
    <xf numFmtId="2" fontId="0" fillId="0" borderId="32" xfId="0" applyNumberFormat="1" applyBorder="1"/>
    <xf numFmtId="0" fontId="13" fillId="0" borderId="0" xfId="0" applyFont="1" applyAlignment="1">
      <alignment horizontal="center" vertical="center" wrapText="1"/>
    </xf>
    <xf numFmtId="1" fontId="0" fillId="0" borderId="15" xfId="0" applyNumberFormat="1" applyBorder="1" applyAlignment="1">
      <alignment horizontal="center"/>
    </xf>
    <xf numFmtId="2" fontId="13" fillId="0" borderId="15" xfId="0" applyNumberFormat="1" applyFont="1" applyBorder="1" applyAlignment="1">
      <alignment horizont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165" fontId="0" fillId="0" borderId="0" xfId="0" applyNumberFormat="1"/>
    <xf numFmtId="2" fontId="17" fillId="10" borderId="33" xfId="0" applyNumberFormat="1" applyFont="1" applyFill="1" applyBorder="1" applyAlignment="1">
      <alignment horizontal="center" vertical="center"/>
    </xf>
    <xf numFmtId="2" fontId="17" fillId="10" borderId="34" xfId="0" applyNumberFormat="1" applyFont="1" applyFill="1" applyBorder="1" applyAlignment="1">
      <alignment horizontal="center" vertical="center"/>
    </xf>
    <xf numFmtId="2" fontId="17" fillId="11" borderId="36" xfId="0" applyNumberFormat="1" applyFont="1" applyFill="1" applyBorder="1" applyAlignment="1">
      <alignment horizontal="center" vertical="center"/>
    </xf>
    <xf numFmtId="2" fontId="17" fillId="11" borderId="37" xfId="0" applyNumberFormat="1" applyFont="1" applyFill="1" applyBorder="1" applyAlignment="1">
      <alignment horizontal="center" vertical="center"/>
    </xf>
    <xf numFmtId="2" fontId="17" fillId="11" borderId="38" xfId="0" applyNumberFormat="1" applyFont="1" applyFill="1" applyBorder="1" applyAlignment="1">
      <alignment horizontal="center" vertical="center"/>
    </xf>
    <xf numFmtId="2" fontId="2" fillId="10" borderId="33" xfId="0" applyNumberFormat="1" applyFont="1" applyFill="1" applyBorder="1" applyAlignment="1">
      <alignment horizontal="center" vertical="center"/>
    </xf>
    <xf numFmtId="2" fontId="2" fillId="11" borderId="35" xfId="0" applyNumberFormat="1" applyFont="1" applyFill="1" applyBorder="1" applyAlignment="1">
      <alignment horizontal="center" vertical="center"/>
    </xf>
    <xf numFmtId="2" fontId="18" fillId="2" borderId="0" xfId="0" applyNumberFormat="1" applyFont="1" applyFill="1" applyAlignment="1">
      <alignment vertical="center"/>
    </xf>
    <xf numFmtId="2" fontId="12" fillId="2" borderId="0" xfId="0" applyNumberFormat="1" applyFont="1" applyFill="1"/>
    <xf numFmtId="2" fontId="18" fillId="2" borderId="0" xfId="0" applyNumberFormat="1" applyFont="1" applyFill="1" applyAlignment="1">
      <alignment horizontal="center" vertical="center"/>
    </xf>
    <xf numFmtId="2" fontId="19" fillId="2" borderId="0" xfId="0" applyNumberFormat="1" applyFont="1" applyFill="1" applyAlignment="1">
      <alignment horizontal="right"/>
    </xf>
    <xf numFmtId="2" fontId="20" fillId="2" borderId="0" xfId="0" applyNumberFormat="1" applyFont="1" applyFill="1" applyAlignment="1">
      <alignment horizontal="center" vertical="center"/>
    </xf>
    <xf numFmtId="2" fontId="12" fillId="2" borderId="20" xfId="0" applyNumberFormat="1" applyFont="1" applyFill="1" applyBorder="1" applyAlignment="1">
      <alignment horizontal="center" vertical="center"/>
    </xf>
    <xf numFmtId="2" fontId="12" fillId="2" borderId="24" xfId="0" applyNumberFormat="1" applyFont="1" applyFill="1" applyBorder="1" applyAlignment="1">
      <alignment horizontal="center" vertical="center"/>
    </xf>
    <xf numFmtId="166" fontId="12" fillId="2" borderId="4" xfId="0" applyNumberFormat="1" applyFont="1" applyFill="1" applyBorder="1" applyAlignment="1">
      <alignment horizontal="center" vertical="center"/>
    </xf>
    <xf numFmtId="166" fontId="12" fillId="2" borderId="5" xfId="0" applyNumberFormat="1" applyFont="1" applyFill="1" applyBorder="1" applyAlignment="1">
      <alignment horizontal="center" vertical="center"/>
    </xf>
    <xf numFmtId="2" fontId="12" fillId="2" borderId="3" xfId="0" applyNumberFormat="1" applyFont="1" applyFill="1" applyBorder="1" applyAlignment="1">
      <alignment horizontal="center" vertical="center"/>
    </xf>
    <xf numFmtId="2" fontId="12" fillId="2" borderId="21" xfId="0" applyNumberFormat="1" applyFont="1" applyFill="1" applyBorder="1" applyAlignment="1">
      <alignment horizontal="center" vertical="center"/>
    </xf>
    <xf numFmtId="2" fontId="19" fillId="2" borderId="0" xfId="0" applyNumberFormat="1" applyFont="1" applyFill="1" applyAlignment="1">
      <alignment horizontal="left"/>
    </xf>
    <xf numFmtId="2" fontId="19" fillId="2" borderId="0" xfId="0" applyNumberFormat="1" applyFont="1" applyFill="1" applyAlignment="1">
      <alignment horizontal="left" vertical="top"/>
    </xf>
    <xf numFmtId="2" fontId="12" fillId="2" borderId="1" xfId="0" applyNumberFormat="1" applyFont="1" applyFill="1" applyBorder="1" applyAlignment="1">
      <alignment horizontal="center" vertical="center"/>
    </xf>
    <xf numFmtId="2" fontId="19" fillId="2" borderId="0" xfId="0" applyNumberFormat="1" applyFont="1" applyFill="1" applyAlignment="1">
      <alignment horizontal="right" vertical="top"/>
    </xf>
    <xf numFmtId="2" fontId="12" fillId="2" borderId="19" xfId="0" applyNumberFormat="1" applyFont="1" applyFill="1" applyBorder="1" applyAlignment="1">
      <alignment horizontal="center" vertical="center"/>
    </xf>
    <xf numFmtId="166" fontId="12" fillId="12" borderId="5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2" fontId="17" fillId="11" borderId="35" xfId="0" applyNumberFormat="1" applyFont="1" applyFill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textRotation="90"/>
    </xf>
    <xf numFmtId="0" fontId="6" fillId="0" borderId="1" xfId="0" applyFont="1" applyBorder="1" applyAlignment="1">
      <alignment horizontal="center" vertical="center" textRotation="90"/>
    </xf>
    <xf numFmtId="0" fontId="6" fillId="0" borderId="3" xfId="0" applyFont="1" applyBorder="1" applyAlignment="1">
      <alignment horizontal="center" vertical="center" textRotation="90"/>
    </xf>
    <xf numFmtId="0" fontId="6" fillId="0" borderId="21" xfId="0" applyFont="1" applyBorder="1" applyAlignment="1">
      <alignment horizontal="center" vertical="center" textRotation="90"/>
    </xf>
    <xf numFmtId="0" fontId="10" fillId="0" borderId="19" xfId="0" applyFont="1" applyBorder="1" applyAlignment="1">
      <alignment horizontal="center" vertical="center" textRotation="90" wrapText="1"/>
    </xf>
    <xf numFmtId="0" fontId="10" fillId="0" borderId="20" xfId="0" applyFont="1" applyBorder="1" applyAlignment="1">
      <alignment horizontal="center" vertical="center" textRotation="90"/>
    </xf>
    <xf numFmtId="0" fontId="10" fillId="0" borderId="24" xfId="0" applyFont="1" applyBorder="1" applyAlignment="1">
      <alignment horizontal="center" vertical="center" textRotation="90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</cellXfs>
  <cellStyles count="1">
    <cellStyle name="Normal" xfId="0" builtinId="0"/>
  </cellStyles>
  <dxfs count="10">
    <dxf>
      <font>
        <color theme="0" tint="-0.34998626667073579"/>
      </font>
    </dxf>
    <dxf>
      <font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theme="5"/>
        </patternFill>
      </fill>
    </dxf>
    <dxf>
      <font>
        <color theme="0"/>
      </font>
      <fill>
        <patternFill>
          <bgColor theme="4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38</xdr:row>
          <xdr:rowOff>171450</xdr:rowOff>
        </xdr:from>
        <xdr:to>
          <xdr:col>13</xdr:col>
          <xdr:colOff>9525</xdr:colOff>
          <xdr:row>41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D2D17-0E33-4DAF-9A1C-E0E58EE747F8}">
  <sheetPr codeName="Sheet1"/>
  <dimension ref="A1:Q88"/>
  <sheetViews>
    <sheetView topLeftCell="G6" workbookViewId="0">
      <selection activeCell="G6" sqref="G6"/>
    </sheetView>
  </sheetViews>
  <sheetFormatPr defaultRowHeight="15" x14ac:dyDescent="0.25"/>
  <cols>
    <col min="1" max="5" width="8.85546875" hidden="1" customWidth="1"/>
    <col min="6" max="6" width="2.7109375" hidden="1" customWidth="1"/>
    <col min="8" max="21" width="5.7109375" customWidth="1"/>
  </cols>
  <sheetData>
    <row r="1" spans="1:17" hidden="1" x14ac:dyDescent="0.25">
      <c r="A1" t="s">
        <v>0</v>
      </c>
      <c r="B1" t="s">
        <v>92</v>
      </c>
      <c r="E1" s="14"/>
    </row>
    <row r="2" spans="1:17" hidden="1" x14ac:dyDescent="0.25">
      <c r="A2" t="s">
        <v>1</v>
      </c>
      <c r="B2" t="s">
        <v>93</v>
      </c>
      <c r="E2" s="14"/>
    </row>
    <row r="3" spans="1:17" hidden="1" x14ac:dyDescent="0.25">
      <c r="A3" t="s">
        <v>2</v>
      </c>
      <c r="B3" t="s">
        <v>94</v>
      </c>
      <c r="E3" s="14"/>
    </row>
    <row r="4" spans="1:17" hidden="1" x14ac:dyDescent="0.25">
      <c r="A4" t="s">
        <v>3</v>
      </c>
      <c r="B4" t="s">
        <v>95</v>
      </c>
      <c r="E4" s="14"/>
    </row>
    <row r="5" spans="1:17" hidden="1" x14ac:dyDescent="0.25">
      <c r="A5" t="s">
        <v>4</v>
      </c>
      <c r="B5" t="s">
        <v>96</v>
      </c>
      <c r="E5" s="14"/>
    </row>
    <row r="6" spans="1:17" x14ac:dyDescent="0.25">
      <c r="A6" s="15" t="s">
        <v>5</v>
      </c>
      <c r="B6" s="15" t="s">
        <v>97</v>
      </c>
      <c r="E6" s="14"/>
      <c r="H6" s="13">
        <f>COLUMN()-7</f>
        <v>1</v>
      </c>
      <c r="I6" s="13">
        <f t="shared" ref="I6:Q6" si="0">COLUMN()-7</f>
        <v>2</v>
      </c>
      <c r="J6" s="13">
        <f t="shared" si="0"/>
        <v>3</v>
      </c>
      <c r="K6" s="13">
        <f t="shared" si="0"/>
        <v>4</v>
      </c>
      <c r="L6" s="13">
        <f t="shared" si="0"/>
        <v>5</v>
      </c>
      <c r="M6" s="13">
        <f t="shared" si="0"/>
        <v>6</v>
      </c>
      <c r="N6" s="13">
        <f t="shared" si="0"/>
        <v>7</v>
      </c>
      <c r="O6" s="13">
        <f t="shared" si="0"/>
        <v>8</v>
      </c>
      <c r="P6" s="13">
        <f t="shared" si="0"/>
        <v>9</v>
      </c>
      <c r="Q6" s="13">
        <f t="shared" si="0"/>
        <v>10</v>
      </c>
    </row>
    <row r="7" spans="1:17" x14ac:dyDescent="0.25">
      <c r="A7" t="s">
        <v>6</v>
      </c>
      <c r="B7" t="s">
        <v>98</v>
      </c>
      <c r="E7" s="14"/>
      <c r="G7" s="13">
        <f>ROW()-6</f>
        <v>1</v>
      </c>
      <c r="H7" s="16" t="s">
        <v>0</v>
      </c>
      <c r="I7" s="17" t="str" cm="1">
        <f t="array" ref="I7">IFERROR(INDEX($G$1:$G$20000,MATCH(H7,$G$1:$G$20000,0)+101),"")</f>
        <v/>
      </c>
      <c r="J7" s="16" t="s">
        <v>18</v>
      </c>
      <c r="K7" s="17" t="str" cm="1">
        <f t="array" ref="K7">IFERROR(INDEX($G$1:$G$20000,MATCH(J7,$G$1:$G$20000,0)+101),"")</f>
        <v/>
      </c>
      <c r="L7" s="16" t="s">
        <v>36</v>
      </c>
      <c r="M7" s="17" t="str" cm="1">
        <f t="array" ref="M7">IFERROR(INDEX($G$1:$G$20000,MATCH(L7,$G$1:$G$20000,0)+101),"")</f>
        <v/>
      </c>
      <c r="N7" s="16" t="s">
        <v>54</v>
      </c>
      <c r="O7" s="17" t="str" cm="1">
        <f t="array" ref="O7">IFERROR(INDEX($G$1:$G$20000,MATCH(N7,$G$1:$G$20000,0)+101),"")</f>
        <v/>
      </c>
      <c r="P7" s="16" t="s">
        <v>72</v>
      </c>
      <c r="Q7" s="17" t="str" cm="1">
        <f t="array" ref="Q7">IFERROR(INDEX($G$1:$G$20000,MATCH(P7,$G$1:$G$20000,0)+101),"")</f>
        <v/>
      </c>
    </row>
    <row r="8" spans="1:17" x14ac:dyDescent="0.25">
      <c r="A8" t="s">
        <v>7</v>
      </c>
      <c r="B8" t="s">
        <v>99</v>
      </c>
      <c r="E8" s="14"/>
      <c r="G8" s="13">
        <f t="shared" ref="G8:G24" si="1">ROW()-6</f>
        <v>2</v>
      </c>
      <c r="H8" s="16" t="s">
        <v>1</v>
      </c>
      <c r="I8" s="17" t="str" cm="1">
        <f t="array" ref="I8">IFERROR(INDEX($G$1:$G$20000,MATCH(H8,$G$1:$G$20000,0)+101),"")</f>
        <v/>
      </c>
      <c r="J8" s="16" t="s">
        <v>19</v>
      </c>
      <c r="K8" s="17" t="str" cm="1">
        <f t="array" ref="K8">IFERROR(INDEX($G$1:$G$20000,MATCH(J8,$G$1:$G$20000,0)+101),"")</f>
        <v/>
      </c>
      <c r="L8" s="16" t="s">
        <v>37</v>
      </c>
      <c r="M8" s="17" t="str" cm="1">
        <f t="array" ref="M8">IFERROR(INDEX($G$1:$G$20000,MATCH(L8,$G$1:$G$20000,0)+101),"")</f>
        <v/>
      </c>
      <c r="N8" s="16" t="s">
        <v>55</v>
      </c>
      <c r="O8" s="17" t="str" cm="1">
        <f t="array" ref="O8">IFERROR(INDEX($G$1:$G$20000,MATCH(N8,$G$1:$G$20000,0)+101),"")</f>
        <v/>
      </c>
      <c r="P8" s="16" t="s">
        <v>73</v>
      </c>
      <c r="Q8" s="17" t="str" cm="1">
        <f t="array" ref="Q8">IFERROR(INDEX($G$1:$G$20000,MATCH(P8,$G$1:$G$20000,0)+101),"")</f>
        <v/>
      </c>
    </row>
    <row r="9" spans="1:17" x14ac:dyDescent="0.25">
      <c r="A9" t="s">
        <v>8</v>
      </c>
      <c r="B9" t="s">
        <v>100</v>
      </c>
      <c r="E9" s="14"/>
      <c r="G9" s="13">
        <f t="shared" si="1"/>
        <v>3</v>
      </c>
      <c r="H9" s="16" t="s">
        <v>2</v>
      </c>
      <c r="I9" s="17" t="str" cm="1">
        <f t="array" ref="I9">IFERROR(INDEX($G$1:$G$20000,MATCH(H9,$G$1:$G$20000,0)+101),"")</f>
        <v/>
      </c>
      <c r="J9" s="16" t="s">
        <v>20</v>
      </c>
      <c r="K9" s="17" t="str" cm="1">
        <f t="array" ref="K9">IFERROR(INDEX($G$1:$G$20000,MATCH(J9,$G$1:$G$20000,0)+101),"")</f>
        <v/>
      </c>
      <c r="L9" s="16" t="s">
        <v>38</v>
      </c>
      <c r="M9" s="17" t="str" cm="1">
        <f t="array" ref="M9">IFERROR(INDEX($G$1:$G$20000,MATCH(L9,$G$1:$G$20000,0)+101),"")</f>
        <v/>
      </c>
      <c r="N9" s="16" t="s">
        <v>56</v>
      </c>
      <c r="O9" s="17" t="str" cm="1">
        <f t="array" ref="O9">IFERROR(INDEX($G$1:$G$20000,MATCH(N9,$G$1:$G$20000,0)+101),"")</f>
        <v/>
      </c>
      <c r="P9" s="16" t="s">
        <v>74</v>
      </c>
      <c r="Q9" s="17" t="str" cm="1">
        <f t="array" ref="Q9">IFERROR(INDEX($G$1:$G$20000,MATCH(P9,$G$1:$G$20000,0)+101),"")</f>
        <v/>
      </c>
    </row>
    <row r="10" spans="1:17" x14ac:dyDescent="0.25">
      <c r="A10" t="s">
        <v>9</v>
      </c>
      <c r="B10" t="s">
        <v>101</v>
      </c>
      <c r="E10" s="14"/>
      <c r="G10" s="13">
        <f t="shared" si="1"/>
        <v>4</v>
      </c>
      <c r="H10" s="16" t="s">
        <v>3</v>
      </c>
      <c r="I10" s="17" t="str" cm="1">
        <f t="array" ref="I10">IFERROR(INDEX($G$1:$G$20000,MATCH(H10,$G$1:$G$20000,0)+101),"")</f>
        <v/>
      </c>
      <c r="J10" s="16" t="s">
        <v>21</v>
      </c>
      <c r="K10" s="17" t="str" cm="1">
        <f t="array" ref="K10">IFERROR(INDEX($G$1:$G$20000,MATCH(J10,$G$1:$G$20000,0)+101),"")</f>
        <v/>
      </c>
      <c r="L10" s="16" t="s">
        <v>39</v>
      </c>
      <c r="M10" s="17" t="str" cm="1">
        <f t="array" ref="M10">IFERROR(INDEX($G$1:$G$20000,MATCH(L10,$G$1:$G$20000,0)+101),"")</f>
        <v/>
      </c>
      <c r="N10" s="16" t="s">
        <v>57</v>
      </c>
      <c r="O10" s="17" t="str" cm="1">
        <f t="array" ref="O10">IFERROR(INDEX($G$1:$G$20000,MATCH(N10,$G$1:$G$20000,0)+101),"")</f>
        <v/>
      </c>
      <c r="P10" s="16" t="s">
        <v>75</v>
      </c>
      <c r="Q10" s="17" t="str" cm="1">
        <f t="array" ref="Q10">IFERROR(INDEX($G$1:$G$20000,MATCH(P10,$G$1:$G$20000,0)+101),"")</f>
        <v/>
      </c>
    </row>
    <row r="11" spans="1:17" x14ac:dyDescent="0.25">
      <c r="A11" t="s">
        <v>10</v>
      </c>
      <c r="B11" t="s">
        <v>102</v>
      </c>
      <c r="E11" s="14"/>
      <c r="G11" s="13">
        <f t="shared" si="1"/>
        <v>5</v>
      </c>
      <c r="H11" s="16" t="s">
        <v>4</v>
      </c>
      <c r="I11" s="17" t="str" cm="1">
        <f t="array" ref="I11">IFERROR(INDEX($G$1:$G$20000,MATCH(H11,$G$1:$G$20000,0)+101),"")</f>
        <v/>
      </c>
      <c r="J11" s="16" t="s">
        <v>22</v>
      </c>
      <c r="K11" s="17" t="str" cm="1">
        <f t="array" ref="K11">IFERROR(INDEX($G$1:$G$20000,MATCH(J11,$G$1:$G$20000,0)+101),"")</f>
        <v/>
      </c>
      <c r="L11" s="16" t="s">
        <v>40</v>
      </c>
      <c r="M11" s="17" t="str" cm="1">
        <f t="array" ref="M11">IFERROR(INDEX($G$1:$G$20000,MATCH(L11,$G$1:$G$20000,0)+101),"")</f>
        <v/>
      </c>
      <c r="N11" s="16" t="s">
        <v>58</v>
      </c>
      <c r="O11" s="17" t="str" cm="1">
        <f t="array" ref="O11">IFERROR(INDEX($G$1:$G$20000,MATCH(N11,$G$1:$G$20000,0)+101),"")</f>
        <v/>
      </c>
      <c r="P11" s="16" t="s">
        <v>76</v>
      </c>
      <c r="Q11" s="17" t="str" cm="1">
        <f t="array" ref="Q11">IFERROR(INDEX($G$1:$G$20000,MATCH(P11,$G$1:$G$20000,0)+101),"")</f>
        <v/>
      </c>
    </row>
    <row r="12" spans="1:17" x14ac:dyDescent="0.25">
      <c r="A12" t="s">
        <v>11</v>
      </c>
      <c r="B12" t="s">
        <v>103</v>
      </c>
      <c r="E12" s="14"/>
      <c r="G12" s="13">
        <f t="shared" si="1"/>
        <v>6</v>
      </c>
      <c r="H12" s="16" t="s">
        <v>5</v>
      </c>
      <c r="I12" s="17" t="str" cm="1">
        <f t="array" ref="I12">IFERROR(INDEX($G$1:$G$20000,MATCH(H12,$G$1:$G$20000,0)+101),"")</f>
        <v/>
      </c>
      <c r="J12" s="16" t="s">
        <v>23</v>
      </c>
      <c r="K12" s="17" t="str" cm="1">
        <f t="array" ref="K12">IFERROR(INDEX($G$1:$G$20000,MATCH(J12,$G$1:$G$20000,0)+101),"")</f>
        <v/>
      </c>
      <c r="L12" s="16" t="s">
        <v>41</v>
      </c>
      <c r="M12" s="17" t="str" cm="1">
        <f t="array" ref="M12">IFERROR(INDEX($G$1:$G$20000,MATCH(L12,$G$1:$G$20000,0)+101),"")</f>
        <v/>
      </c>
      <c r="N12" s="16" t="s">
        <v>59</v>
      </c>
      <c r="O12" s="17" t="str" cm="1">
        <f t="array" ref="O12">IFERROR(INDEX($G$1:$G$20000,MATCH(N12,$G$1:$G$20000,0)+101),"")</f>
        <v/>
      </c>
      <c r="P12" s="16" t="s">
        <v>77</v>
      </c>
      <c r="Q12" s="17" t="str" cm="1">
        <f t="array" ref="Q12">IFERROR(INDEX($G$1:$G$20000,MATCH(P12,$G$1:$G$20000,0)+101),"")</f>
        <v/>
      </c>
    </row>
    <row r="13" spans="1:17" x14ac:dyDescent="0.25">
      <c r="A13" t="s">
        <v>12</v>
      </c>
      <c r="B13" t="s">
        <v>104</v>
      </c>
      <c r="E13" s="14"/>
      <c r="G13" s="13">
        <f t="shared" si="1"/>
        <v>7</v>
      </c>
      <c r="H13" s="16" t="s">
        <v>6</v>
      </c>
      <c r="I13" s="17" t="str" cm="1">
        <f t="array" ref="I13">IFERROR(INDEX($G$1:$G$20000,MATCH(H13,$G$1:$G$20000,0)+101),"")</f>
        <v/>
      </c>
      <c r="J13" s="16" t="s">
        <v>24</v>
      </c>
      <c r="K13" s="17" t="str" cm="1">
        <f t="array" ref="K13">IFERROR(INDEX($G$1:$G$20000,MATCH(J13,$G$1:$G$20000,0)+101),"")</f>
        <v/>
      </c>
      <c r="L13" s="16" t="s">
        <v>42</v>
      </c>
      <c r="M13" s="17" t="str" cm="1">
        <f t="array" ref="M13">IFERROR(INDEX($G$1:$G$20000,MATCH(L13,$G$1:$G$20000,0)+101),"")</f>
        <v/>
      </c>
      <c r="N13" s="16" t="s">
        <v>60</v>
      </c>
      <c r="O13" s="17" t="str" cm="1">
        <f t="array" ref="O13">IFERROR(INDEX($G$1:$G$20000,MATCH(N13,$G$1:$G$20000,0)+101),"")</f>
        <v/>
      </c>
      <c r="P13" s="16" t="s">
        <v>78</v>
      </c>
      <c r="Q13" s="17" t="str" cm="1">
        <f t="array" ref="Q13">IFERROR(INDEX($G$1:$G$20000,MATCH(P13,$G$1:$G$20000,0)+101),"")</f>
        <v/>
      </c>
    </row>
    <row r="14" spans="1:17" x14ac:dyDescent="0.25">
      <c r="A14" s="15" t="s">
        <v>13</v>
      </c>
      <c r="B14" s="15" t="s">
        <v>105</v>
      </c>
      <c r="E14" s="14"/>
      <c r="G14" s="13">
        <f t="shared" si="1"/>
        <v>8</v>
      </c>
      <c r="H14" s="16" t="s">
        <v>7</v>
      </c>
      <c r="I14" s="17" t="str" cm="1">
        <f t="array" ref="I14">IFERROR(INDEX($G$1:$G$20000,MATCH(H14,$G$1:$G$20000,0)+101),"")</f>
        <v/>
      </c>
      <c r="J14" s="16" t="s">
        <v>25</v>
      </c>
      <c r="K14" s="17" t="str" cm="1">
        <f t="array" ref="K14">IFERROR(INDEX($G$1:$G$20000,MATCH(J14,$G$1:$G$20000,0)+101),"")</f>
        <v/>
      </c>
      <c r="L14" s="16" t="s">
        <v>43</v>
      </c>
      <c r="M14" s="17" t="str" cm="1">
        <f t="array" ref="M14">IFERROR(INDEX($G$1:$G$20000,MATCH(L14,$G$1:$G$20000,0)+101),"")</f>
        <v/>
      </c>
      <c r="N14" s="16" t="s">
        <v>61</v>
      </c>
      <c r="O14" s="17" t="str" cm="1">
        <f t="array" ref="O14">IFERROR(INDEX($G$1:$G$20000,MATCH(N14,$G$1:$G$20000,0)+101),"")</f>
        <v/>
      </c>
      <c r="P14" s="16" t="s">
        <v>79</v>
      </c>
      <c r="Q14" s="17" t="str" cm="1">
        <f t="array" ref="Q14">IFERROR(INDEX($G$1:$G$20000,MATCH(P14,$G$1:$G$20000,0)+101),"")</f>
        <v/>
      </c>
    </row>
    <row r="15" spans="1:17" x14ac:dyDescent="0.25">
      <c r="A15" t="s">
        <v>14</v>
      </c>
      <c r="B15" t="s">
        <v>106</v>
      </c>
      <c r="E15" s="14"/>
      <c r="G15" s="13">
        <f t="shared" si="1"/>
        <v>9</v>
      </c>
      <c r="H15" s="16" t="s">
        <v>8</v>
      </c>
      <c r="I15" s="17" t="str" cm="1">
        <f t="array" ref="I15">IFERROR(INDEX($G$1:$G$20000,MATCH(H15,$G$1:$G$20000,0)+101),"")</f>
        <v/>
      </c>
      <c r="J15" s="16" t="s">
        <v>26</v>
      </c>
      <c r="K15" s="17" t="str" cm="1">
        <f t="array" ref="K15">IFERROR(INDEX($G$1:$G$20000,MATCH(J15,$G$1:$G$20000,0)+101),"")</f>
        <v/>
      </c>
      <c r="L15" s="16" t="s">
        <v>44</v>
      </c>
      <c r="M15" s="17" t="str" cm="1">
        <f t="array" ref="M15">IFERROR(INDEX($G$1:$G$20000,MATCH(L15,$G$1:$G$20000,0)+101),"")</f>
        <v/>
      </c>
      <c r="N15" s="16" t="s">
        <v>62</v>
      </c>
      <c r="O15" s="17" t="str" cm="1">
        <f t="array" ref="O15">IFERROR(INDEX($G$1:$G$20000,MATCH(N15,$G$1:$G$20000,0)+101),"")</f>
        <v/>
      </c>
      <c r="P15" s="16" t="s">
        <v>80</v>
      </c>
      <c r="Q15" s="17" t="str" cm="1">
        <f t="array" ref="Q15">IFERROR(INDEX($G$1:$G$20000,MATCH(P15,$G$1:$G$20000,0)+101),"")</f>
        <v/>
      </c>
    </row>
    <row r="16" spans="1:17" x14ac:dyDescent="0.25">
      <c r="A16" t="s">
        <v>15</v>
      </c>
      <c r="B16" t="s">
        <v>107</v>
      </c>
      <c r="E16" s="14"/>
      <c r="G16" s="13">
        <f t="shared" si="1"/>
        <v>10</v>
      </c>
      <c r="H16" s="16" t="s">
        <v>9</v>
      </c>
      <c r="I16" s="17" t="str" cm="1">
        <f t="array" ref="I16">IFERROR(INDEX($G$1:$G$20000,MATCH(H16,$G$1:$G$20000,0)+101),"")</f>
        <v/>
      </c>
      <c r="J16" s="16" t="s">
        <v>27</v>
      </c>
      <c r="K16" s="17" t="str" cm="1">
        <f t="array" ref="K16">IFERROR(INDEX($G$1:$G$20000,MATCH(J16,$G$1:$G$20000,0)+101),"")</f>
        <v/>
      </c>
      <c r="L16" s="16" t="s">
        <v>45</v>
      </c>
      <c r="M16" s="17" t="str" cm="1">
        <f t="array" ref="M16">IFERROR(INDEX($G$1:$G$20000,MATCH(L16,$G$1:$G$20000,0)+101),"")</f>
        <v/>
      </c>
      <c r="N16" s="16" t="s">
        <v>63</v>
      </c>
      <c r="O16" s="17" t="str" cm="1">
        <f t="array" ref="O16">IFERROR(INDEX($G$1:$G$20000,MATCH(N16,$G$1:$G$20000,0)+101),"")</f>
        <v/>
      </c>
      <c r="P16" s="16" t="s">
        <v>81</v>
      </c>
      <c r="Q16" s="17" t="str" cm="1">
        <f t="array" ref="Q16">IFERROR(INDEX($G$1:$G$20000,MATCH(P16,$G$1:$G$20000,0)+101),"")</f>
        <v/>
      </c>
    </row>
    <row r="17" spans="1:17" x14ac:dyDescent="0.25">
      <c r="A17" t="s">
        <v>16</v>
      </c>
      <c r="B17" t="s">
        <v>108</v>
      </c>
      <c r="E17" s="14"/>
      <c r="G17" s="13">
        <f t="shared" si="1"/>
        <v>11</v>
      </c>
      <c r="H17" s="16" t="s">
        <v>10</v>
      </c>
      <c r="I17" s="17" t="str" cm="1">
        <f t="array" ref="I17">IFERROR(INDEX($G$1:$G$20000,MATCH(H17,$G$1:$G$20000,0)+101),"")</f>
        <v/>
      </c>
      <c r="J17" s="16" t="s">
        <v>28</v>
      </c>
      <c r="K17" s="17" t="str" cm="1">
        <f t="array" ref="K17">IFERROR(INDEX($G$1:$G$20000,MATCH(J17,$G$1:$G$20000,0)+101),"")</f>
        <v/>
      </c>
      <c r="L17" s="16" t="s">
        <v>46</v>
      </c>
      <c r="M17" s="17" t="str" cm="1">
        <f t="array" ref="M17">IFERROR(INDEX($G$1:$G$20000,MATCH(L17,$G$1:$G$20000,0)+101),"")</f>
        <v/>
      </c>
      <c r="N17" s="16" t="s">
        <v>64</v>
      </c>
      <c r="O17" s="17" t="str" cm="1">
        <f t="array" ref="O17">IFERROR(INDEX($G$1:$G$20000,MATCH(N17,$G$1:$G$20000,0)+101),"")</f>
        <v/>
      </c>
      <c r="P17" s="16" t="s">
        <v>82</v>
      </c>
      <c r="Q17" s="17" t="str" cm="1">
        <f t="array" ref="Q17">IFERROR(INDEX($G$1:$G$20000,MATCH(P17,$G$1:$G$20000,0)+101),"")</f>
        <v/>
      </c>
    </row>
    <row r="18" spans="1:17" x14ac:dyDescent="0.25">
      <c r="A18" t="s">
        <v>17</v>
      </c>
      <c r="B18" t="s">
        <v>109</v>
      </c>
      <c r="E18" s="14"/>
      <c r="G18" s="13">
        <f t="shared" si="1"/>
        <v>12</v>
      </c>
      <c r="H18" s="16" t="s">
        <v>11</v>
      </c>
      <c r="I18" s="17" t="str" cm="1">
        <f t="array" ref="I18">IFERROR(INDEX($G$1:$G$20000,MATCH(H18,$G$1:$G$20000,0)+101),"")</f>
        <v/>
      </c>
      <c r="J18" s="16" t="s">
        <v>29</v>
      </c>
      <c r="K18" s="17" t="str" cm="1">
        <f t="array" ref="K18">IFERROR(INDEX($G$1:$G$20000,MATCH(J18,$G$1:$G$20000,0)+101),"")</f>
        <v/>
      </c>
      <c r="L18" s="16" t="s">
        <v>47</v>
      </c>
      <c r="M18" s="17" t="str" cm="1">
        <f t="array" ref="M18">IFERROR(INDEX($G$1:$G$20000,MATCH(L18,$G$1:$G$20000,0)+101),"")</f>
        <v/>
      </c>
      <c r="N18" s="16" t="s">
        <v>65</v>
      </c>
      <c r="O18" s="17" t="str" cm="1">
        <f t="array" ref="O18">IFERROR(INDEX($G$1:$G$20000,MATCH(N18,$G$1:$G$20000,0)+101),"")</f>
        <v/>
      </c>
      <c r="P18" s="16" t="s">
        <v>83</v>
      </c>
      <c r="Q18" s="17" t="str" cm="1">
        <f t="array" ref="Q18">IFERROR(INDEX($G$1:$G$20000,MATCH(P18,$G$1:$G$20000,0)+101),"")</f>
        <v/>
      </c>
    </row>
    <row r="19" spans="1:17" x14ac:dyDescent="0.25">
      <c r="A19" t="s">
        <v>18</v>
      </c>
      <c r="B19" t="s">
        <v>110</v>
      </c>
      <c r="E19" s="14"/>
      <c r="G19" s="13">
        <f t="shared" si="1"/>
        <v>13</v>
      </c>
      <c r="H19" s="16" t="s">
        <v>12</v>
      </c>
      <c r="I19" s="17" t="str" cm="1">
        <f t="array" ref="I19">IFERROR(INDEX($G$1:$G$20000,MATCH(H19,$G$1:$G$20000,0)+101),"")</f>
        <v/>
      </c>
      <c r="J19" s="16" t="s">
        <v>30</v>
      </c>
      <c r="K19" s="17" t="str" cm="1">
        <f t="array" ref="K19">IFERROR(INDEX($G$1:$G$20000,MATCH(J19,$G$1:$G$20000,0)+101),"")</f>
        <v/>
      </c>
      <c r="L19" s="16" t="s">
        <v>48</v>
      </c>
      <c r="M19" s="17" t="str" cm="1">
        <f t="array" ref="M19">IFERROR(INDEX($G$1:$G$20000,MATCH(L19,$G$1:$G$20000,0)+101),"")</f>
        <v/>
      </c>
      <c r="N19" s="16" t="s">
        <v>66</v>
      </c>
      <c r="O19" s="17" t="str" cm="1">
        <f t="array" ref="O19">IFERROR(INDEX($G$1:$G$20000,MATCH(N19,$G$1:$G$20000,0)+101),"")</f>
        <v/>
      </c>
      <c r="P19" s="16" t="s">
        <v>84</v>
      </c>
      <c r="Q19" s="17" t="str" cm="1">
        <f t="array" ref="Q19">IFERROR(INDEX($G$1:$G$20000,MATCH(P19,$G$1:$G$20000,0)+101),"")</f>
        <v/>
      </c>
    </row>
    <row r="20" spans="1:17" x14ac:dyDescent="0.25">
      <c r="A20" t="s">
        <v>19</v>
      </c>
      <c r="B20" t="s">
        <v>111</v>
      </c>
      <c r="E20" s="14"/>
      <c r="G20" s="13">
        <f t="shared" si="1"/>
        <v>14</v>
      </c>
      <c r="H20" s="16" t="s">
        <v>13</v>
      </c>
      <c r="I20" s="17" t="str" cm="1">
        <f t="array" ref="I20">IFERROR(INDEX($G$1:$G$20000,MATCH(H20,$G$1:$G$20000,0)+101),"")</f>
        <v/>
      </c>
      <c r="J20" s="16" t="s">
        <v>31</v>
      </c>
      <c r="K20" s="17" t="str" cm="1">
        <f t="array" ref="K20">IFERROR(INDEX($G$1:$G$20000,MATCH(J20,$G$1:$G$20000,0)+101),"")</f>
        <v/>
      </c>
      <c r="L20" s="16" t="s">
        <v>49</v>
      </c>
      <c r="M20" s="17" t="str" cm="1">
        <f t="array" ref="M20">IFERROR(INDEX($G$1:$G$20000,MATCH(L20,$G$1:$G$20000,0)+101),"")</f>
        <v/>
      </c>
      <c r="N20" s="16" t="s">
        <v>67</v>
      </c>
      <c r="O20" s="17" t="str" cm="1">
        <f t="array" ref="O20">IFERROR(INDEX($G$1:$G$20000,MATCH(N20,$G$1:$G$20000,0)+101),"")</f>
        <v/>
      </c>
      <c r="P20" s="16" t="s">
        <v>85</v>
      </c>
      <c r="Q20" s="17" t="str" cm="1">
        <f t="array" ref="Q20">IFERROR(INDEX($G$1:$G$20000,MATCH(P20,$G$1:$G$20000,0)+101),"")</f>
        <v/>
      </c>
    </row>
    <row r="21" spans="1:17" x14ac:dyDescent="0.25">
      <c r="A21" t="s">
        <v>20</v>
      </c>
      <c r="B21" t="s">
        <v>112</v>
      </c>
      <c r="E21" s="14"/>
      <c r="G21" s="13">
        <f t="shared" si="1"/>
        <v>15</v>
      </c>
      <c r="H21" s="16" t="s">
        <v>14</v>
      </c>
      <c r="I21" s="17" t="str" cm="1">
        <f t="array" ref="I21">IFERROR(INDEX($G$1:$G$20000,MATCH(H21,$G$1:$G$20000,0)+101),"")</f>
        <v/>
      </c>
      <c r="J21" s="16" t="s">
        <v>32</v>
      </c>
      <c r="K21" s="17" t="str" cm="1">
        <f t="array" ref="K21">IFERROR(INDEX($G$1:$G$20000,MATCH(J21,$G$1:$G$20000,0)+101),"")</f>
        <v/>
      </c>
      <c r="L21" s="16" t="s">
        <v>50</v>
      </c>
      <c r="M21" s="17" t="str" cm="1">
        <f t="array" ref="M21">IFERROR(INDEX($G$1:$G$20000,MATCH(L21,$G$1:$G$20000,0)+101),"")</f>
        <v/>
      </c>
      <c r="N21" s="16" t="s">
        <v>68</v>
      </c>
      <c r="O21" s="17" t="str" cm="1">
        <f t="array" ref="O21">IFERROR(INDEX($G$1:$G$20000,MATCH(N21,$G$1:$G$20000,0)+101),"")</f>
        <v/>
      </c>
      <c r="P21" s="16" t="s">
        <v>86</v>
      </c>
      <c r="Q21" s="17" t="str" cm="1">
        <f t="array" ref="Q21">IFERROR(INDEX($G$1:$G$20000,MATCH(P21,$G$1:$G$20000,0)+101),"")</f>
        <v/>
      </c>
    </row>
    <row r="22" spans="1:17" x14ac:dyDescent="0.25">
      <c r="A22" t="s">
        <v>21</v>
      </c>
      <c r="B22" t="s">
        <v>113</v>
      </c>
      <c r="E22" s="14"/>
      <c r="G22" s="13">
        <f t="shared" si="1"/>
        <v>16</v>
      </c>
      <c r="H22" s="16" t="s">
        <v>15</v>
      </c>
      <c r="I22" s="17" t="str" cm="1">
        <f t="array" ref="I22">IFERROR(INDEX($G$1:$G$20000,MATCH(H22,$G$1:$G$20000,0)+101),"")</f>
        <v/>
      </c>
      <c r="J22" s="16" t="s">
        <v>33</v>
      </c>
      <c r="K22" s="17" t="str" cm="1">
        <f t="array" ref="K22">IFERROR(INDEX($G$1:$G$20000,MATCH(J22,$G$1:$G$20000,0)+101),"")</f>
        <v/>
      </c>
      <c r="L22" s="16" t="s">
        <v>51</v>
      </c>
      <c r="M22" s="17" t="str" cm="1">
        <f t="array" ref="M22">IFERROR(INDEX($G$1:$G$20000,MATCH(L22,$G$1:$G$20000,0)+101),"")</f>
        <v/>
      </c>
      <c r="N22" s="16" t="s">
        <v>69</v>
      </c>
      <c r="O22" s="17" t="str" cm="1">
        <f t="array" ref="O22">IFERROR(INDEX($G$1:$G$20000,MATCH(N22,$G$1:$G$20000,0)+101),"")</f>
        <v/>
      </c>
      <c r="P22" s="16" t="s">
        <v>87</v>
      </c>
      <c r="Q22" s="17" t="str" cm="1">
        <f t="array" ref="Q22">IFERROR(INDEX($G$1:$G$20000,MATCH(P22,$G$1:$G$20000,0)+101),"")</f>
        <v/>
      </c>
    </row>
    <row r="23" spans="1:17" x14ac:dyDescent="0.25">
      <c r="A23" t="s">
        <v>22</v>
      </c>
      <c r="B23" t="s">
        <v>114</v>
      </c>
      <c r="E23" s="14"/>
      <c r="G23" s="13">
        <f t="shared" si="1"/>
        <v>17</v>
      </c>
      <c r="H23" s="16" t="s">
        <v>16</v>
      </c>
      <c r="I23" s="17" t="str" cm="1">
        <f t="array" ref="I23">IFERROR(INDEX($G$1:$G$20000,MATCH(H23,$G$1:$G$20000,0)+101),"")</f>
        <v/>
      </c>
      <c r="J23" s="16" t="s">
        <v>34</v>
      </c>
      <c r="K23" s="17" t="str" cm="1">
        <f t="array" ref="K23">IFERROR(INDEX($G$1:$G$20000,MATCH(J23,$G$1:$G$20000,0)+101),"")</f>
        <v/>
      </c>
      <c r="L23" s="16" t="s">
        <v>52</v>
      </c>
      <c r="M23" s="17" t="str" cm="1">
        <f t="array" ref="M23">IFERROR(INDEX($G$1:$G$20000,MATCH(L23,$G$1:$G$20000,0)+101),"")</f>
        <v/>
      </c>
      <c r="N23" s="16" t="s">
        <v>70</v>
      </c>
      <c r="O23" s="17" t="str" cm="1">
        <f t="array" ref="O23">IFERROR(INDEX($G$1:$G$20000,MATCH(N23,$G$1:$G$20000,0)+101),"")</f>
        <v/>
      </c>
      <c r="P23" s="18"/>
      <c r="Q23" s="17" t="str" cm="1">
        <f t="array" ref="Q23">IFERROR(INDEX($G$1:$G$20000,MATCH(P23,$G$1:$G$20000,0)+101),"")</f>
        <v/>
      </c>
    </row>
    <row r="24" spans="1:17" x14ac:dyDescent="0.25">
      <c r="A24" s="15" t="s">
        <v>23</v>
      </c>
      <c r="B24" s="15" t="s">
        <v>115</v>
      </c>
      <c r="E24" s="14"/>
      <c r="G24" s="13">
        <f t="shared" si="1"/>
        <v>18</v>
      </c>
      <c r="H24" s="16" t="s">
        <v>17</v>
      </c>
      <c r="I24" s="17" t="str" cm="1">
        <f t="array" ref="I24">IFERROR(INDEX($G$1:$G$20000,MATCH(H24,$G$1:$G$20000,0)+101),"")</f>
        <v/>
      </c>
      <c r="J24" s="16" t="s">
        <v>35</v>
      </c>
      <c r="K24" s="17" t="str" cm="1">
        <f t="array" ref="K24">IFERROR(INDEX($G$1:$G$20000,MATCH(J24,$G$1:$G$20000,0)+101),"")</f>
        <v/>
      </c>
      <c r="L24" s="16" t="s">
        <v>53</v>
      </c>
      <c r="M24" s="17" t="str" cm="1">
        <f t="array" ref="M24">IFERROR(INDEX($G$1:$G$20000,MATCH(L24,$G$1:$G$20000,0)+101),"")</f>
        <v/>
      </c>
      <c r="N24" s="16" t="s">
        <v>71</v>
      </c>
      <c r="O24" s="17" t="str" cm="1">
        <f t="array" ref="O24">IFERROR(INDEX($G$1:$G$20000,MATCH(N24,$G$1:$G$20000,0)+101),"")</f>
        <v/>
      </c>
      <c r="P24" s="18"/>
      <c r="Q24" s="17" t="str" cm="1">
        <f t="array" ref="Q24">IFERROR(INDEX($G$1:$G$20000,MATCH(P24,$G$1:$G$20000,0)+101),"")</f>
        <v/>
      </c>
    </row>
    <row r="25" spans="1:17" x14ac:dyDescent="0.25">
      <c r="A25" t="s">
        <v>24</v>
      </c>
      <c r="B25" t="s">
        <v>116</v>
      </c>
      <c r="E25" s="14"/>
    </row>
    <row r="26" spans="1:17" x14ac:dyDescent="0.25">
      <c r="A26" t="s">
        <v>25</v>
      </c>
      <c r="B26" t="s">
        <v>117</v>
      </c>
      <c r="E26" s="14"/>
    </row>
    <row r="27" spans="1:17" x14ac:dyDescent="0.25">
      <c r="A27" t="s">
        <v>26</v>
      </c>
      <c r="B27" t="s">
        <v>118</v>
      </c>
      <c r="E27" s="14"/>
    </row>
    <row r="28" spans="1:17" x14ac:dyDescent="0.25">
      <c r="A28" t="s">
        <v>27</v>
      </c>
      <c r="B28" t="s">
        <v>119</v>
      </c>
      <c r="E28" s="14"/>
    </row>
    <row r="29" spans="1:17" x14ac:dyDescent="0.25">
      <c r="A29" t="s">
        <v>28</v>
      </c>
      <c r="B29" t="s">
        <v>120</v>
      </c>
      <c r="E29" s="14"/>
    </row>
    <row r="30" spans="1:17" x14ac:dyDescent="0.25">
      <c r="A30" t="s">
        <v>29</v>
      </c>
      <c r="B30" t="s">
        <v>121</v>
      </c>
      <c r="E30" s="14"/>
    </row>
    <row r="31" spans="1:17" x14ac:dyDescent="0.25">
      <c r="A31" t="s">
        <v>30</v>
      </c>
      <c r="B31" t="s">
        <v>122</v>
      </c>
      <c r="E31" s="14"/>
    </row>
    <row r="32" spans="1:17" x14ac:dyDescent="0.25">
      <c r="A32" t="s">
        <v>31</v>
      </c>
      <c r="B32" t="s">
        <v>123</v>
      </c>
      <c r="E32" s="14"/>
    </row>
    <row r="33" spans="1:5" x14ac:dyDescent="0.25">
      <c r="A33" t="s">
        <v>32</v>
      </c>
      <c r="B33" t="s">
        <v>124</v>
      </c>
      <c r="E33" s="14"/>
    </row>
    <row r="34" spans="1:5" x14ac:dyDescent="0.25">
      <c r="A34" s="15" t="s">
        <v>33</v>
      </c>
      <c r="B34" s="15" t="s">
        <v>125</v>
      </c>
      <c r="E34" s="14"/>
    </row>
    <row r="35" spans="1:5" x14ac:dyDescent="0.25">
      <c r="A35" t="s">
        <v>34</v>
      </c>
      <c r="B35" t="s">
        <v>126</v>
      </c>
      <c r="E35" s="14"/>
    </row>
    <row r="36" spans="1:5" x14ac:dyDescent="0.25">
      <c r="A36" t="s">
        <v>35</v>
      </c>
      <c r="B36" t="s">
        <v>127</v>
      </c>
      <c r="E36" s="14"/>
    </row>
    <row r="37" spans="1:5" x14ac:dyDescent="0.25">
      <c r="A37" t="s">
        <v>36</v>
      </c>
      <c r="B37" t="s">
        <v>128</v>
      </c>
      <c r="E37" s="14"/>
    </row>
    <row r="38" spans="1:5" x14ac:dyDescent="0.25">
      <c r="A38" t="s">
        <v>37</v>
      </c>
      <c r="B38" t="s">
        <v>129</v>
      </c>
      <c r="E38" s="14"/>
    </row>
    <row r="39" spans="1:5" x14ac:dyDescent="0.25">
      <c r="A39" t="s">
        <v>38</v>
      </c>
      <c r="B39" t="s">
        <v>130</v>
      </c>
      <c r="E39" s="14"/>
    </row>
    <row r="40" spans="1:5" x14ac:dyDescent="0.25">
      <c r="A40" t="s">
        <v>39</v>
      </c>
      <c r="B40" t="s">
        <v>131</v>
      </c>
      <c r="E40" s="14"/>
    </row>
    <row r="41" spans="1:5" x14ac:dyDescent="0.25">
      <c r="A41" t="s">
        <v>40</v>
      </c>
      <c r="B41" t="s">
        <v>132</v>
      </c>
      <c r="E41" s="14"/>
    </row>
    <row r="42" spans="1:5" x14ac:dyDescent="0.25">
      <c r="A42" t="s">
        <v>41</v>
      </c>
      <c r="B42" t="s">
        <v>133</v>
      </c>
      <c r="E42" s="14"/>
    </row>
    <row r="43" spans="1:5" x14ac:dyDescent="0.25">
      <c r="A43" t="s">
        <v>42</v>
      </c>
      <c r="B43" t="s">
        <v>134</v>
      </c>
      <c r="E43" s="14"/>
    </row>
    <row r="44" spans="1:5" x14ac:dyDescent="0.25">
      <c r="A44" s="15" t="s">
        <v>43</v>
      </c>
      <c r="B44" s="15" t="s">
        <v>135</v>
      </c>
      <c r="E44" s="14"/>
    </row>
    <row r="45" spans="1:5" x14ac:dyDescent="0.25">
      <c r="A45" t="s">
        <v>44</v>
      </c>
      <c r="B45" t="s">
        <v>136</v>
      </c>
      <c r="E45" s="14"/>
    </row>
    <row r="46" spans="1:5" x14ac:dyDescent="0.25">
      <c r="A46" t="s">
        <v>45</v>
      </c>
      <c r="B46" t="s">
        <v>137</v>
      </c>
      <c r="E46" s="14"/>
    </row>
    <row r="47" spans="1:5" x14ac:dyDescent="0.25">
      <c r="A47" t="s">
        <v>46</v>
      </c>
      <c r="B47" t="s">
        <v>138</v>
      </c>
      <c r="E47" s="14"/>
    </row>
    <row r="48" spans="1:5" x14ac:dyDescent="0.25">
      <c r="A48" t="s">
        <v>47</v>
      </c>
      <c r="B48" t="s">
        <v>139</v>
      </c>
      <c r="E48" s="14"/>
    </row>
    <row r="49" spans="1:5" x14ac:dyDescent="0.25">
      <c r="A49" t="s">
        <v>48</v>
      </c>
      <c r="B49" t="s">
        <v>140</v>
      </c>
      <c r="E49" s="14"/>
    </row>
    <row r="50" spans="1:5" x14ac:dyDescent="0.25">
      <c r="A50" t="s">
        <v>49</v>
      </c>
      <c r="B50" t="s">
        <v>141</v>
      </c>
      <c r="E50" s="14"/>
    </row>
    <row r="51" spans="1:5" x14ac:dyDescent="0.25">
      <c r="A51" t="s">
        <v>50</v>
      </c>
      <c r="B51" t="s">
        <v>142</v>
      </c>
      <c r="E51" s="14"/>
    </row>
    <row r="52" spans="1:5" x14ac:dyDescent="0.25">
      <c r="A52" t="s">
        <v>51</v>
      </c>
      <c r="B52" t="s">
        <v>143</v>
      </c>
      <c r="E52" s="14"/>
    </row>
    <row r="53" spans="1:5" x14ac:dyDescent="0.25">
      <c r="A53" t="s">
        <v>52</v>
      </c>
      <c r="B53" t="s">
        <v>144</v>
      </c>
      <c r="E53" s="14"/>
    </row>
    <row r="54" spans="1:5" x14ac:dyDescent="0.25">
      <c r="A54" s="15" t="s">
        <v>53</v>
      </c>
      <c r="B54" s="15" t="s">
        <v>145</v>
      </c>
      <c r="E54" s="14"/>
    </row>
    <row r="55" spans="1:5" x14ac:dyDescent="0.25">
      <c r="A55" t="s">
        <v>54</v>
      </c>
      <c r="B55" t="s">
        <v>146</v>
      </c>
      <c r="E55" s="14"/>
    </row>
    <row r="56" spans="1:5" x14ac:dyDescent="0.25">
      <c r="A56" t="s">
        <v>55</v>
      </c>
      <c r="B56" t="s">
        <v>147</v>
      </c>
      <c r="E56" s="14"/>
    </row>
    <row r="57" spans="1:5" x14ac:dyDescent="0.25">
      <c r="A57" t="s">
        <v>56</v>
      </c>
      <c r="B57" t="s">
        <v>148</v>
      </c>
      <c r="E57" s="14"/>
    </row>
    <row r="58" spans="1:5" x14ac:dyDescent="0.25">
      <c r="A58" t="s">
        <v>57</v>
      </c>
      <c r="B58" t="s">
        <v>149</v>
      </c>
      <c r="E58" s="14"/>
    </row>
    <row r="59" spans="1:5" x14ac:dyDescent="0.25">
      <c r="A59" t="s">
        <v>58</v>
      </c>
      <c r="B59" t="s">
        <v>150</v>
      </c>
      <c r="E59" s="14"/>
    </row>
    <row r="60" spans="1:5" x14ac:dyDescent="0.25">
      <c r="A60" t="s">
        <v>59</v>
      </c>
      <c r="B60" t="s">
        <v>151</v>
      </c>
      <c r="E60" s="14"/>
    </row>
    <row r="61" spans="1:5" x14ac:dyDescent="0.25">
      <c r="A61" t="s">
        <v>60</v>
      </c>
      <c r="B61" t="s">
        <v>152</v>
      </c>
      <c r="E61" s="14"/>
    </row>
    <row r="62" spans="1:5" x14ac:dyDescent="0.25">
      <c r="A62" t="s">
        <v>61</v>
      </c>
      <c r="B62" t="s">
        <v>153</v>
      </c>
      <c r="E62" s="14"/>
    </row>
    <row r="63" spans="1:5" x14ac:dyDescent="0.25">
      <c r="A63" t="s">
        <v>62</v>
      </c>
      <c r="B63" t="s">
        <v>154</v>
      </c>
      <c r="E63" s="14"/>
    </row>
    <row r="64" spans="1:5" x14ac:dyDescent="0.25">
      <c r="A64" s="15" t="s">
        <v>63</v>
      </c>
      <c r="B64" s="15" t="s">
        <v>155</v>
      </c>
      <c r="E64" s="14"/>
    </row>
    <row r="65" spans="1:5" x14ac:dyDescent="0.25">
      <c r="A65" t="s">
        <v>64</v>
      </c>
      <c r="B65" t="s">
        <v>156</v>
      </c>
      <c r="E65" s="14"/>
    </row>
    <row r="66" spans="1:5" x14ac:dyDescent="0.25">
      <c r="A66" t="s">
        <v>65</v>
      </c>
      <c r="B66" t="s">
        <v>157</v>
      </c>
      <c r="E66" s="14"/>
    </row>
    <row r="67" spans="1:5" x14ac:dyDescent="0.25">
      <c r="A67" t="s">
        <v>66</v>
      </c>
      <c r="B67" t="s">
        <v>158</v>
      </c>
      <c r="E67" s="14"/>
    </row>
    <row r="68" spans="1:5" x14ac:dyDescent="0.25">
      <c r="A68" t="s">
        <v>67</v>
      </c>
      <c r="B68" t="s">
        <v>159</v>
      </c>
      <c r="E68" s="14"/>
    </row>
    <row r="69" spans="1:5" x14ac:dyDescent="0.25">
      <c r="A69" t="s">
        <v>68</v>
      </c>
      <c r="B69" t="s">
        <v>160</v>
      </c>
      <c r="E69" s="14"/>
    </row>
    <row r="70" spans="1:5" x14ac:dyDescent="0.25">
      <c r="A70" t="s">
        <v>69</v>
      </c>
      <c r="B70" t="s">
        <v>161</v>
      </c>
      <c r="E70" s="14"/>
    </row>
    <row r="71" spans="1:5" x14ac:dyDescent="0.25">
      <c r="A71" t="s">
        <v>70</v>
      </c>
      <c r="B71" t="s">
        <v>162</v>
      </c>
      <c r="E71" s="14"/>
    </row>
    <row r="72" spans="1:5" x14ac:dyDescent="0.25">
      <c r="A72" t="s">
        <v>71</v>
      </c>
      <c r="B72" t="s">
        <v>163</v>
      </c>
      <c r="E72" s="14"/>
    </row>
    <row r="73" spans="1:5" x14ac:dyDescent="0.25">
      <c r="A73" t="s">
        <v>72</v>
      </c>
      <c r="B73" t="s">
        <v>164</v>
      </c>
      <c r="E73" s="14"/>
    </row>
    <row r="74" spans="1:5" x14ac:dyDescent="0.25">
      <c r="A74" s="15" t="s">
        <v>73</v>
      </c>
      <c r="B74" s="15" t="s">
        <v>165</v>
      </c>
      <c r="E74" s="14"/>
    </row>
    <row r="75" spans="1:5" x14ac:dyDescent="0.25">
      <c r="A75" t="s">
        <v>74</v>
      </c>
      <c r="B75" t="s">
        <v>166</v>
      </c>
      <c r="E75" s="14"/>
    </row>
    <row r="76" spans="1:5" x14ac:dyDescent="0.25">
      <c r="A76" t="s">
        <v>75</v>
      </c>
      <c r="B76" t="s">
        <v>167</v>
      </c>
      <c r="E76" s="14"/>
    </row>
    <row r="77" spans="1:5" x14ac:dyDescent="0.25">
      <c r="A77" t="s">
        <v>76</v>
      </c>
      <c r="B77" t="s">
        <v>168</v>
      </c>
      <c r="E77" s="14"/>
    </row>
    <row r="78" spans="1:5" x14ac:dyDescent="0.25">
      <c r="A78" t="s">
        <v>77</v>
      </c>
      <c r="B78" t="s">
        <v>169</v>
      </c>
      <c r="E78" s="14"/>
    </row>
    <row r="79" spans="1:5" x14ac:dyDescent="0.25">
      <c r="A79" t="s">
        <v>78</v>
      </c>
      <c r="B79" t="s">
        <v>170</v>
      </c>
      <c r="E79" s="14"/>
    </row>
    <row r="80" spans="1:5" x14ac:dyDescent="0.25">
      <c r="A80" t="s">
        <v>79</v>
      </c>
      <c r="B80" t="s">
        <v>171</v>
      </c>
      <c r="E80" s="14"/>
    </row>
    <row r="81" spans="1:5" x14ac:dyDescent="0.25">
      <c r="A81" t="s">
        <v>80</v>
      </c>
      <c r="B81" t="s">
        <v>172</v>
      </c>
      <c r="E81" s="14"/>
    </row>
    <row r="82" spans="1:5" x14ac:dyDescent="0.25">
      <c r="A82" s="15" t="s">
        <v>81</v>
      </c>
      <c r="B82" s="15" t="s">
        <v>173</v>
      </c>
      <c r="E82" s="14"/>
    </row>
    <row r="83" spans="1:5" x14ac:dyDescent="0.25">
      <c r="A83" t="s">
        <v>82</v>
      </c>
      <c r="B83" t="s">
        <v>174</v>
      </c>
      <c r="E83" s="14"/>
    </row>
    <row r="84" spans="1:5" x14ac:dyDescent="0.25">
      <c r="A84" t="s">
        <v>83</v>
      </c>
      <c r="B84" t="s">
        <v>175</v>
      </c>
      <c r="E84" s="14"/>
    </row>
    <row r="85" spans="1:5" x14ac:dyDescent="0.25">
      <c r="A85" t="s">
        <v>84</v>
      </c>
      <c r="B85" t="s">
        <v>176</v>
      </c>
      <c r="E85" s="14"/>
    </row>
    <row r="86" spans="1:5" x14ac:dyDescent="0.25">
      <c r="A86" t="s">
        <v>85</v>
      </c>
      <c r="B86" t="s">
        <v>177</v>
      </c>
      <c r="E86" s="14"/>
    </row>
    <row r="87" spans="1:5" x14ac:dyDescent="0.25">
      <c r="A87" t="s">
        <v>86</v>
      </c>
      <c r="B87" t="s">
        <v>178</v>
      </c>
    </row>
    <row r="88" spans="1:5" x14ac:dyDescent="0.25">
      <c r="A88" t="s">
        <v>87</v>
      </c>
      <c r="B88" t="s">
        <v>179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5D5D6-41AE-4C05-BD3F-66D58DA179A3}">
  <sheetPr codeName="Sheet11"/>
  <dimension ref="A1:X126"/>
  <sheetViews>
    <sheetView tabSelected="1" zoomScale="80" zoomScaleNormal="80" workbookViewId="0">
      <selection activeCell="A6" sqref="A6:J35"/>
    </sheetView>
  </sheetViews>
  <sheetFormatPr defaultRowHeight="15" x14ac:dyDescent="0.25"/>
  <cols>
    <col min="13" max="14" width="8.85546875" style="5" customWidth="1"/>
    <col min="15" max="24" width="8.85546875" customWidth="1"/>
  </cols>
  <sheetData>
    <row r="1" spans="1:24" ht="15.75" thickBot="1" x14ac:dyDescent="0.3"/>
    <row r="2" spans="1:24" hidden="1" x14ac:dyDescent="0.25"/>
    <row r="3" spans="1:24" hidden="1" x14ac:dyDescent="0.25"/>
    <row r="4" spans="1:24" hidden="1" x14ac:dyDescent="0.25"/>
    <row r="5" spans="1:24" hidden="1" x14ac:dyDescent="0.25"/>
    <row r="6" spans="1:24" x14ac:dyDescent="0.25">
      <c r="A6" s="71"/>
      <c r="B6" s="71"/>
      <c r="C6" s="69">
        <f>INDEX(KDF_data!$B$3:$B$90,MATCH(C7,KDF_data!$A$3:$A$90,0))</f>
        <v>20.487903594999999</v>
      </c>
      <c r="D6" s="69">
        <f>INDEX(KDF_data!$B$3:$B$90,MATCH(D7,KDF_data!$A$3:$A$90,0))</f>
        <v>53.5599212646</v>
      </c>
      <c r="E6" s="69">
        <f>INDEX(KDF_data!$B$3:$B$90,MATCH(E7,KDF_data!$A$3:$A$90,0))</f>
        <v>52.9107589722</v>
      </c>
      <c r="F6" s="69">
        <f>INDEX(KDF_data!$B$3:$B$90,MATCH(F7,KDF_data!$A$3:$A$90,0))</f>
        <v>50.538589477499997</v>
      </c>
      <c r="G6" s="69">
        <f>INDEX(KDF_data!$B$3:$B$90,MATCH(G7,KDF_data!$A$3:$A$90,0))</f>
        <v>48.886871337899997</v>
      </c>
      <c r="H6" s="69">
        <f>INDEX(KDF_data!$B$3:$B$90,MATCH(H7,KDF_data!$A$3:$A$90,0))</f>
        <v>23.578500747700001</v>
      </c>
      <c r="I6" s="70"/>
      <c r="J6" s="64"/>
      <c r="M6" s="62"/>
      <c r="N6" s="62"/>
      <c r="O6" s="9">
        <f>C33</f>
        <v>52.699684143100001</v>
      </c>
      <c r="P6" s="9">
        <f t="shared" ref="P6:T6" si="0">D33</f>
        <v>0.69169998168900004</v>
      </c>
      <c r="Q6" s="85">
        <f t="shared" si="0"/>
        <v>56.568908691399997</v>
      </c>
      <c r="R6" s="81">
        <f t="shared" si="0"/>
        <v>55.476093292199998</v>
      </c>
      <c r="S6" s="9">
        <f t="shared" si="0"/>
        <v>56.663894653299998</v>
      </c>
      <c r="T6" s="9">
        <f t="shared" si="0"/>
        <v>56.4687271118</v>
      </c>
      <c r="U6" s="4"/>
      <c r="V6" s="4"/>
    </row>
    <row r="7" spans="1:24" x14ac:dyDescent="0.25">
      <c r="A7" s="71"/>
      <c r="B7" s="71"/>
      <c r="C7" s="68" t="s">
        <v>0</v>
      </c>
      <c r="D7" s="68" t="s">
        <v>1</v>
      </c>
      <c r="E7" s="68" t="s">
        <v>2</v>
      </c>
      <c r="F7" s="68" t="s">
        <v>3</v>
      </c>
      <c r="G7" s="68" t="s">
        <v>4</v>
      </c>
      <c r="H7" s="68" t="s">
        <v>5</v>
      </c>
      <c r="I7" s="62"/>
      <c r="J7" s="65"/>
      <c r="M7" s="62"/>
      <c r="N7" s="62"/>
      <c r="O7" s="12" t="str">
        <f>C7</f>
        <v>Die 1</v>
      </c>
      <c r="P7" s="12" t="str">
        <f t="shared" ref="P7:T7" si="1">D7</f>
        <v>Die 2</v>
      </c>
      <c r="Q7" s="86" t="str">
        <f t="shared" si="1"/>
        <v>Die 3</v>
      </c>
      <c r="R7" s="82" t="str">
        <f t="shared" si="1"/>
        <v>Die 4</v>
      </c>
      <c r="S7" s="12" t="str">
        <f t="shared" si="1"/>
        <v>Die 5</v>
      </c>
      <c r="T7" s="12" t="str">
        <f t="shared" si="1"/>
        <v>Die 6</v>
      </c>
      <c r="U7" s="4"/>
      <c r="V7" s="4"/>
    </row>
    <row r="8" spans="1:24" ht="14.45" customHeight="1" thickBot="1" x14ac:dyDescent="0.3">
      <c r="A8" s="71"/>
      <c r="B8" s="77"/>
      <c r="C8" s="53">
        <f>INDEX(KDF_data!$C$3:$C$90,MATCH(C7,KDF_data!$A$3:$A$90,0))</f>
        <v>33.266685485799997</v>
      </c>
      <c r="D8" s="53">
        <f>INDEX(KDF_data!$C$3:$C$90,MATCH(D7,KDF_data!$A$3:$A$90,0))</f>
        <v>47.286750793499998</v>
      </c>
      <c r="E8" s="53">
        <f>INDEX(KDF_data!$C$3:$C$90,MATCH(E7,KDF_data!$A$3:$A$90,0))</f>
        <v>48.572181701700003</v>
      </c>
      <c r="F8" s="53">
        <f>INDEX(KDF_data!$C$3:$C$90,MATCH(F7,KDF_data!$A$3:$A$90,0))</f>
        <v>51.243614196800003</v>
      </c>
      <c r="G8" s="53">
        <f>INDEX(KDF_data!$C$3:$C$90,MATCH(G7,KDF_data!$A$3:$A$90,0))</f>
        <v>52.152656555199997</v>
      </c>
      <c r="H8" s="53">
        <f>INDEX(KDF_data!$C$3:$C$90,MATCH(H7,KDF_data!$A$3:$A$90,0))</f>
        <v>2.3889541625999999E-2</v>
      </c>
      <c r="I8" s="62"/>
      <c r="J8" s="65"/>
      <c r="M8" s="62"/>
      <c r="N8" s="62"/>
      <c r="O8" s="10">
        <f t="shared" ref="O8:T8" si="2">C8</f>
        <v>33.266685485799997</v>
      </c>
      <c r="P8" s="10">
        <f t="shared" si="2"/>
        <v>47.286750793499998</v>
      </c>
      <c r="Q8" s="87">
        <f t="shared" si="2"/>
        <v>48.572181701700003</v>
      </c>
      <c r="R8" s="83">
        <f t="shared" si="2"/>
        <v>51.243614196800003</v>
      </c>
      <c r="S8" s="10">
        <f t="shared" si="2"/>
        <v>52.152656555199997</v>
      </c>
      <c r="T8" s="10">
        <f t="shared" si="2"/>
        <v>2.3889541625999999E-2</v>
      </c>
      <c r="U8" s="4"/>
      <c r="V8" s="4"/>
    </row>
    <row r="9" spans="1:24" x14ac:dyDescent="0.25">
      <c r="A9" s="72"/>
      <c r="B9" s="69">
        <f>INDEX(KDF_data!$B$3:$B$90,MATCH(B10,KDF_data!$A$3:$A$90,0))</f>
        <v>50.343776702900001</v>
      </c>
      <c r="C9" s="69">
        <f>INDEX(KDF_data!$B$3:$B$90,MATCH(C10,KDF_data!$A$3:$A$90,0))</f>
        <v>55.379199981699998</v>
      </c>
      <c r="D9" s="69">
        <f>INDEX(KDF_data!$B$3:$B$90,MATCH(D10,KDF_data!$A$3:$A$90,0))</f>
        <v>59.4585647583</v>
      </c>
      <c r="E9" s="69">
        <f>INDEX(KDF_data!$B$3:$B$90,MATCH(E10,KDF_data!$A$3:$A$90,0))</f>
        <v>56.421447753899997</v>
      </c>
      <c r="F9" s="69">
        <f>INDEX(KDF_data!$B$3:$B$90,MATCH(F10,KDF_data!$A$3:$A$90,0))</f>
        <v>51.589870452900001</v>
      </c>
      <c r="G9" s="69">
        <f>INDEX(KDF_data!$B$3:$B$90,MATCH(G10,KDF_data!$A$3:$A$90,0))</f>
        <v>49.080513000499998</v>
      </c>
      <c r="H9" s="69">
        <f>INDEX(KDF_data!$B$3:$B$90,MATCH(H10,KDF_data!$A$3:$A$90,0))</f>
        <v>47.641086578399999</v>
      </c>
      <c r="I9" s="69">
        <f>INDEX(KDF_data!$B$3:$B$90,MATCH(I10,KDF_data!$A$3:$A$90,0))</f>
        <v>42.337535858199999</v>
      </c>
      <c r="J9" s="65"/>
      <c r="M9" s="62"/>
      <c r="N9" s="9">
        <f t="shared" ref="N9:U9" si="3">B30</f>
        <v>52.816154480000002</v>
      </c>
      <c r="O9" s="9">
        <f t="shared" si="3"/>
        <v>56.010437011699999</v>
      </c>
      <c r="P9" s="9">
        <f t="shared" si="3"/>
        <v>57.682464599600003</v>
      </c>
      <c r="Q9" s="85">
        <f t="shared" si="3"/>
        <v>58.2031478882</v>
      </c>
      <c r="R9" s="81">
        <f t="shared" si="3"/>
        <v>57.726333618200002</v>
      </c>
      <c r="S9" s="9">
        <f t="shared" si="3"/>
        <v>57.680679321299998</v>
      </c>
      <c r="T9" s="9">
        <f t="shared" si="3"/>
        <v>58.382247924799998</v>
      </c>
      <c r="U9" s="9">
        <f t="shared" si="3"/>
        <v>57.333946228000002</v>
      </c>
      <c r="V9" s="4"/>
    </row>
    <row r="10" spans="1:24" x14ac:dyDescent="0.25">
      <c r="A10" s="72"/>
      <c r="B10" s="68" t="s">
        <v>6</v>
      </c>
      <c r="C10" s="68" t="s">
        <v>7</v>
      </c>
      <c r="D10" s="68" t="s">
        <v>8</v>
      </c>
      <c r="E10" s="68" t="s">
        <v>9</v>
      </c>
      <c r="F10" s="68" t="s">
        <v>10</v>
      </c>
      <c r="G10" s="68" t="s">
        <v>11</v>
      </c>
      <c r="H10" s="68" t="s">
        <v>12</v>
      </c>
      <c r="I10" s="68" t="s">
        <v>13</v>
      </c>
      <c r="J10" s="65"/>
      <c r="M10" s="62"/>
      <c r="N10" s="12" t="str">
        <f>B10</f>
        <v>Die 7</v>
      </c>
      <c r="O10" s="12" t="str">
        <f t="shared" ref="O10:U10" si="4">C10</f>
        <v>Die 8</v>
      </c>
      <c r="P10" s="12" t="str">
        <f t="shared" si="4"/>
        <v>Die 9</v>
      </c>
      <c r="Q10" s="86" t="str">
        <f t="shared" si="4"/>
        <v>Die 10</v>
      </c>
      <c r="R10" s="82" t="str">
        <f t="shared" si="4"/>
        <v>Die 11</v>
      </c>
      <c r="S10" s="12" t="str">
        <f t="shared" si="4"/>
        <v>Die 12</v>
      </c>
      <c r="T10" s="12" t="str">
        <f t="shared" si="4"/>
        <v>Die 13</v>
      </c>
      <c r="U10" s="12" t="str">
        <f t="shared" si="4"/>
        <v>Die 14</v>
      </c>
      <c r="V10" s="4"/>
    </row>
    <row r="11" spans="1:24" ht="15.75" thickBot="1" x14ac:dyDescent="0.3">
      <c r="A11" s="72"/>
      <c r="B11" s="69">
        <f>INDEX(KDF_data!$C$3:$C$90,MATCH(B10,KDF_data!$A$3:$A$90,0))</f>
        <v>45.660232543900001</v>
      </c>
      <c r="C11" s="69">
        <f>INDEX(KDF_data!$C$3:$C$90,MATCH(C10,KDF_data!$A$3:$A$90,0))</f>
        <v>47.447181701700003</v>
      </c>
      <c r="D11" s="69">
        <f>INDEX(KDF_data!$C$3:$C$90,MATCH(D10,KDF_data!$A$3:$A$90,0))</f>
        <v>49.484611511200001</v>
      </c>
      <c r="E11" s="69">
        <f>INDEX(KDF_data!$C$3:$C$90,MATCH(E10,KDF_data!$A$3:$A$90,0))</f>
        <v>51.582695007300003</v>
      </c>
      <c r="F11" s="69">
        <f>INDEX(KDF_data!$C$3:$C$90,MATCH(F10,KDF_data!$A$3:$A$90,0))</f>
        <v>31.6949615479</v>
      </c>
      <c r="G11" s="69">
        <f>INDEX(KDF_data!$C$3:$C$90,MATCH(G10,KDF_data!$A$3:$A$90,0))</f>
        <v>59.352684021000002</v>
      </c>
      <c r="H11" s="69">
        <f>INDEX(KDF_data!$C$3:$C$90,MATCH(H10,KDF_data!$A$3:$A$90,0))</f>
        <v>9.0503692627000004E-2</v>
      </c>
      <c r="I11" s="69">
        <f>INDEX(KDF_data!$C$3:$C$90,MATCH(I10,KDF_data!$A$3:$A$90,0))</f>
        <v>50.346138000499998</v>
      </c>
      <c r="J11" s="65"/>
      <c r="M11" s="62"/>
      <c r="N11" s="10">
        <f t="shared" ref="N11:U11" si="5">B11</f>
        <v>45.660232543900001</v>
      </c>
      <c r="O11" s="10">
        <f t="shared" si="5"/>
        <v>47.447181701700003</v>
      </c>
      <c r="P11" s="10">
        <f t="shared" si="5"/>
        <v>49.484611511200001</v>
      </c>
      <c r="Q11" s="87">
        <f t="shared" si="5"/>
        <v>51.582695007300003</v>
      </c>
      <c r="R11" s="83">
        <f t="shared" si="5"/>
        <v>31.6949615479</v>
      </c>
      <c r="S11" s="10">
        <f t="shared" si="5"/>
        <v>59.352684021000002</v>
      </c>
      <c r="T11" s="10">
        <f t="shared" si="5"/>
        <v>9.0503692627000004E-2</v>
      </c>
      <c r="U11" s="10">
        <f t="shared" si="5"/>
        <v>50.346138000499998</v>
      </c>
      <c r="V11" s="4"/>
    </row>
    <row r="12" spans="1:24" x14ac:dyDescent="0.25">
      <c r="A12" s="73">
        <f>INDEX(KDF_data!$B$3:$B$90,MATCH(A13,KDF_data!$A$3:$A$90,0))</f>
        <v>41.148803710899998</v>
      </c>
      <c r="B12" s="69">
        <f>INDEX(KDF_data!$B$3:$B$90,MATCH(B13,KDF_data!$A$3:$A$90,0))</f>
        <v>52.754116058299999</v>
      </c>
      <c r="C12" s="69">
        <f>INDEX(KDF_data!$B$3:$B$90,MATCH(C13,KDF_data!$A$3:$A$90,0))</f>
        <v>58.244895935099997</v>
      </c>
      <c r="D12" s="69">
        <f>INDEX(KDF_data!$B$3:$B$90,MATCH(D13,KDF_data!$A$3:$A$90,0))</f>
        <v>58.948753356899999</v>
      </c>
      <c r="E12" s="69">
        <f>INDEX(KDF_data!$B$3:$B$90,MATCH(E13,KDF_data!$A$3:$A$90,0))</f>
        <v>45.977806091300003</v>
      </c>
      <c r="F12" s="69">
        <f>INDEX(KDF_data!$B$3:$B$90,MATCH(F13,KDF_data!$A$3:$A$90,0))</f>
        <v>55.478263855000002</v>
      </c>
      <c r="G12" s="69">
        <f>INDEX(KDF_data!$B$3:$B$90,MATCH(G13,KDF_data!$A$3:$A$90,0))</f>
        <v>52.4308700562</v>
      </c>
      <c r="H12" s="69">
        <f>INDEX(KDF_data!$B$3:$B$90,MATCH(H13,KDF_data!$A$3:$A$90,0))</f>
        <v>49.480606079099999</v>
      </c>
      <c r="I12" s="69">
        <f>INDEX(KDF_data!$B$3:$B$90,MATCH(I13,KDF_data!$A$3:$A$90,0))</f>
        <v>48.024772644000002</v>
      </c>
      <c r="J12" s="75">
        <f>INDEX(KDF_data!$B$3:$B$90,MATCH(J13,KDF_data!$A$3:$A$90,0))</f>
        <v>46.378944396999998</v>
      </c>
      <c r="K12" s="125"/>
      <c r="M12" s="9">
        <f t="shared" ref="M12:V12" si="6">A27</f>
        <v>51.428676605200003</v>
      </c>
      <c r="N12" s="9">
        <f t="shared" si="6"/>
        <v>55.601547241200002</v>
      </c>
      <c r="O12" s="9">
        <f t="shared" si="6"/>
        <v>57.351375579799999</v>
      </c>
      <c r="P12" s="9">
        <f t="shared" si="6"/>
        <v>56.703353881799998</v>
      </c>
      <c r="Q12" s="85">
        <f t="shared" si="6"/>
        <v>57.401062011699999</v>
      </c>
      <c r="R12" s="81">
        <f t="shared" si="6"/>
        <v>57.098556518599999</v>
      </c>
      <c r="S12" s="9">
        <f t="shared" si="6"/>
        <v>57.751846313500003</v>
      </c>
      <c r="T12" s="9">
        <f t="shared" si="6"/>
        <v>57.665325164800002</v>
      </c>
      <c r="U12" s="9">
        <f t="shared" si="6"/>
        <v>57.620429992699997</v>
      </c>
      <c r="V12" s="9">
        <f t="shared" si="6"/>
        <v>54.333900451700003</v>
      </c>
      <c r="W12" s="126"/>
      <c r="X12" s="66"/>
    </row>
    <row r="13" spans="1:24" x14ac:dyDescent="0.25">
      <c r="A13" s="74" t="s">
        <v>14</v>
      </c>
      <c r="B13" s="74" t="s">
        <v>15</v>
      </c>
      <c r="C13" s="74" t="s">
        <v>16</v>
      </c>
      <c r="D13" s="74" t="s">
        <v>17</v>
      </c>
      <c r="E13" s="74" t="s">
        <v>18</v>
      </c>
      <c r="F13" s="74" t="s">
        <v>19</v>
      </c>
      <c r="G13" s="74" t="s">
        <v>20</v>
      </c>
      <c r="H13" s="74" t="s">
        <v>21</v>
      </c>
      <c r="I13" s="74" t="s">
        <v>22</v>
      </c>
      <c r="J13" s="74" t="s">
        <v>23</v>
      </c>
      <c r="K13" s="125"/>
      <c r="M13" s="12" t="str">
        <f>A13</f>
        <v>Die 15</v>
      </c>
      <c r="N13" s="12" t="str">
        <f t="shared" ref="N13:V13" si="7">B13</f>
        <v>Die 16</v>
      </c>
      <c r="O13" s="12" t="str">
        <f t="shared" si="7"/>
        <v>Die 17</v>
      </c>
      <c r="P13" s="12" t="str">
        <f t="shared" si="7"/>
        <v>Die 18</v>
      </c>
      <c r="Q13" s="86" t="str">
        <f t="shared" si="7"/>
        <v>Die 19</v>
      </c>
      <c r="R13" s="82" t="str">
        <f t="shared" si="7"/>
        <v>Die 20</v>
      </c>
      <c r="S13" s="12" t="str">
        <f t="shared" si="7"/>
        <v>Die 21</v>
      </c>
      <c r="T13" s="12" t="str">
        <f t="shared" si="7"/>
        <v>Die 22</v>
      </c>
      <c r="U13" s="12" t="str">
        <f t="shared" si="7"/>
        <v>Die 23</v>
      </c>
      <c r="V13" s="12" t="str">
        <f t="shared" si="7"/>
        <v>Die 24</v>
      </c>
      <c r="W13" s="127"/>
      <c r="X13" s="66"/>
    </row>
    <row r="14" spans="1:24" ht="15.75" thickBot="1" x14ac:dyDescent="0.3">
      <c r="A14" s="73">
        <f>INDEX(KDF_data!$C$3:$C$90,MATCH(A13,KDF_data!$A$3:$A$90,0))</f>
        <v>45.096755981400001</v>
      </c>
      <c r="B14" s="69">
        <f>INDEX(KDF_data!$C$3:$C$90,MATCH(B13,KDF_data!$A$3:$A$90,0))</f>
        <v>47.605800628700003</v>
      </c>
      <c r="C14" s="69">
        <f>INDEX(KDF_data!$C$3:$C$90,MATCH(C13,KDF_data!$A$3:$A$90,0))</f>
        <v>48.805881500200002</v>
      </c>
      <c r="D14" s="69">
        <f>INDEX(KDF_data!$C$3:$C$90,MATCH(D13,KDF_data!$A$3:$A$90,0))</f>
        <v>52.3276329041</v>
      </c>
      <c r="E14" s="69">
        <f>INDEX(KDF_data!$C$3:$C$90,MATCH(E13,KDF_data!$A$3:$A$90,0))</f>
        <v>55.0771255493</v>
      </c>
      <c r="F14" s="69">
        <f>INDEX(KDF_data!$C$3:$C$90,MATCH(F13,KDF_data!$A$3:$A$90,0))</f>
        <v>58.8519096375</v>
      </c>
      <c r="G14" s="69">
        <f>INDEX(KDF_data!$C$3:$C$90,MATCH(G13,KDF_data!$A$3:$A$90,0))</f>
        <v>60.713577270499997</v>
      </c>
      <c r="H14" s="69">
        <f>INDEX(KDF_data!$C$3:$C$90,MATCH(H13,KDF_data!$A$3:$A$90,0))</f>
        <v>58.862472534200002</v>
      </c>
      <c r="I14" s="69">
        <f>INDEX(KDF_data!$C$3:$C$90,MATCH(I13,KDF_data!$A$3:$A$90,0))</f>
        <v>53.376342773399998</v>
      </c>
      <c r="J14" s="75">
        <f>INDEX(KDF_data!$C$3:$C$90,MATCH(J13,KDF_data!$A$3:$A$90,0))</f>
        <v>27.125049591100002</v>
      </c>
      <c r="K14" s="125"/>
      <c r="M14" s="10">
        <f t="shared" ref="M14:V14" si="8">A14</f>
        <v>45.096755981400001</v>
      </c>
      <c r="N14" s="10">
        <f t="shared" si="8"/>
        <v>47.605800628700003</v>
      </c>
      <c r="O14" s="10">
        <f t="shared" si="8"/>
        <v>48.805881500200002</v>
      </c>
      <c r="P14" s="10">
        <f t="shared" si="8"/>
        <v>52.3276329041</v>
      </c>
      <c r="Q14" s="87">
        <f t="shared" si="8"/>
        <v>55.0771255493</v>
      </c>
      <c r="R14" s="83">
        <f t="shared" si="8"/>
        <v>58.8519096375</v>
      </c>
      <c r="S14" s="10">
        <f t="shared" si="8"/>
        <v>60.713577270499997</v>
      </c>
      <c r="T14" s="10">
        <f t="shared" si="8"/>
        <v>58.862472534200002</v>
      </c>
      <c r="U14" s="10">
        <f t="shared" si="8"/>
        <v>53.376342773399998</v>
      </c>
      <c r="V14" s="10">
        <f t="shared" si="8"/>
        <v>27.125049591100002</v>
      </c>
      <c r="W14" s="127"/>
      <c r="X14" s="66"/>
    </row>
    <row r="15" spans="1:24" ht="15.75" thickBot="1" x14ac:dyDescent="0.3">
      <c r="A15" s="73">
        <f>INDEX(KDF_data!$B$3:$B$90,MATCH(A16,KDF_data!$A$3:$A$90,0))</f>
        <v>49.661231994600001</v>
      </c>
      <c r="B15" s="69">
        <f>INDEX(KDF_data!$B$3:$B$90,MATCH(B16,KDF_data!$A$3:$A$90,0))</f>
        <v>54.556228637700002</v>
      </c>
      <c r="C15" s="69">
        <f>INDEX(KDF_data!$B$3:$B$90,MATCH(C16,KDF_data!$A$3:$A$90,0))</f>
        <v>0.35614967346199999</v>
      </c>
      <c r="D15" s="69">
        <f>INDEX(KDF_data!$B$3:$B$90,MATCH(D16,KDF_data!$A$3:$A$90,0))</f>
        <v>58.547569274899999</v>
      </c>
      <c r="E15" s="69">
        <f>INDEX(KDF_data!$B$3:$B$90,MATCH(E16,KDF_data!$A$3:$A$90,0))</f>
        <v>58.231090545699999</v>
      </c>
      <c r="F15" s="69">
        <f>INDEX(KDF_data!$B$3:$B$90,MATCH(F16,KDF_data!$A$3:$A$90,0))</f>
        <v>7.2160720825200002</v>
      </c>
      <c r="G15" s="69">
        <f>INDEX(KDF_data!$B$3:$B$90,MATCH(G16,KDF_data!$A$3:$A$90,0))</f>
        <v>0.51712989807099996</v>
      </c>
      <c r="H15" s="69">
        <f>INDEX(KDF_data!$B$3:$B$90,MATCH(H16,KDF_data!$A$3:$A$90,0))</f>
        <v>51.566291809100001</v>
      </c>
      <c r="I15" s="69">
        <f>INDEX(KDF_data!$B$3:$B$90,MATCH(I16,KDF_data!$A$3:$A$90,0))</f>
        <v>48.962997436499997</v>
      </c>
      <c r="J15" s="75">
        <f>INDEX(KDF_data!$B$3:$B$90,MATCH(J16,KDF_data!$A$3:$A$90,0))</f>
        <v>47.819519043</v>
      </c>
      <c r="K15" s="125"/>
      <c r="M15" s="9">
        <f t="shared" ref="M15:V15" si="9">A24</f>
        <v>52.197074890099998</v>
      </c>
      <c r="N15" s="9">
        <f t="shared" si="9"/>
        <v>57.370185852100001</v>
      </c>
      <c r="O15" s="9">
        <f t="shared" si="9"/>
        <v>58.407234191900002</v>
      </c>
      <c r="P15" s="9">
        <f t="shared" si="9"/>
        <v>57.0726165771</v>
      </c>
      <c r="Q15" s="85">
        <f t="shared" si="9"/>
        <v>51.3203125</v>
      </c>
      <c r="R15" s="81">
        <f t="shared" si="9"/>
        <v>33.286643981899999</v>
      </c>
      <c r="S15" s="9">
        <f t="shared" si="9"/>
        <v>56.603790283199999</v>
      </c>
      <c r="T15" s="9">
        <f t="shared" si="9"/>
        <v>10.660672187799999</v>
      </c>
      <c r="U15" s="9">
        <f t="shared" si="9"/>
        <v>56.408645629900001</v>
      </c>
      <c r="V15" s="9">
        <f t="shared" si="9"/>
        <v>52.041267394999998</v>
      </c>
      <c r="W15" s="127"/>
      <c r="X15" s="66"/>
    </row>
    <row r="16" spans="1:24" x14ac:dyDescent="0.25">
      <c r="A16" s="74" t="s">
        <v>24</v>
      </c>
      <c r="B16" s="74" t="s">
        <v>25</v>
      </c>
      <c r="C16" s="74" t="s">
        <v>26</v>
      </c>
      <c r="D16" s="74" t="s">
        <v>27</v>
      </c>
      <c r="E16" s="74" t="s">
        <v>28</v>
      </c>
      <c r="F16" s="74" t="s">
        <v>29</v>
      </c>
      <c r="G16" s="74" t="s">
        <v>30</v>
      </c>
      <c r="H16" s="74" t="s">
        <v>31</v>
      </c>
      <c r="I16" s="74" t="s">
        <v>32</v>
      </c>
      <c r="J16" s="74" t="s">
        <v>33</v>
      </c>
      <c r="K16" s="125"/>
      <c r="M16" s="12" t="str">
        <f>A16</f>
        <v>Die 25</v>
      </c>
      <c r="N16" s="12" t="str">
        <f t="shared" ref="N16:V16" si="10">B16</f>
        <v>Die 26</v>
      </c>
      <c r="O16" s="12" t="str">
        <f t="shared" si="10"/>
        <v>Die 27</v>
      </c>
      <c r="P16" s="12" t="str">
        <f t="shared" si="10"/>
        <v>Die 28</v>
      </c>
      <c r="Q16" s="86" t="str">
        <f t="shared" si="10"/>
        <v>Die 29</v>
      </c>
      <c r="R16" s="82" t="str">
        <f t="shared" si="10"/>
        <v>Die 30</v>
      </c>
      <c r="S16" s="12" t="str">
        <f t="shared" si="10"/>
        <v>Die 31</v>
      </c>
      <c r="T16" s="12" t="str">
        <f t="shared" si="10"/>
        <v>Die 32</v>
      </c>
      <c r="U16" s="12" t="str">
        <f t="shared" si="10"/>
        <v>Die 33</v>
      </c>
      <c r="V16" s="12" t="str">
        <f t="shared" si="10"/>
        <v>Die 34</v>
      </c>
      <c r="W16" s="127"/>
      <c r="X16" s="129" t="s">
        <v>191</v>
      </c>
    </row>
    <row r="17" spans="1:24" ht="15.75" thickBot="1" x14ac:dyDescent="0.3">
      <c r="A17" s="73">
        <f>INDEX(KDF_data!$C$3:$C$90,MATCH(A16,KDF_data!$A$3:$A$90,0))</f>
        <v>46.814632415799998</v>
      </c>
      <c r="B17" s="69">
        <f>INDEX(KDF_data!$C$3:$C$90,MATCH(B16,KDF_data!$A$3:$A$90,0))</f>
        <v>49.009277343800001</v>
      </c>
      <c r="C17" s="69">
        <f>INDEX(KDF_data!$C$3:$C$90,MATCH(C16,KDF_data!$A$3:$A$90,0))</f>
        <v>52.209045410199998</v>
      </c>
      <c r="D17" s="69">
        <f>INDEX(KDF_data!$C$3:$C$90,MATCH(D16,KDF_data!$A$3:$A$90,0))</f>
        <v>55.674816131599997</v>
      </c>
      <c r="E17" s="69">
        <f>INDEX(KDF_data!$C$3:$C$90,MATCH(E16,KDF_data!$A$3:$A$90,0))</f>
        <v>9.3545198440600004</v>
      </c>
      <c r="F17" s="69">
        <f>INDEX(KDF_data!$C$3:$C$90,MATCH(F16,KDF_data!$A$3:$A$90,0))</f>
        <v>58.815933227499997</v>
      </c>
      <c r="G17" s="69">
        <f>INDEX(KDF_data!$C$3:$C$90,MATCH(G16,KDF_data!$A$3:$A$90,0))</f>
        <v>59.050918579099999</v>
      </c>
      <c r="H17" s="69">
        <f>INDEX(KDF_data!$C$3:$C$90,MATCH(H16,KDF_data!$A$3:$A$90,0))</f>
        <v>17.8658256531</v>
      </c>
      <c r="I17" s="69">
        <f>INDEX(KDF_data!$C$3:$C$90,MATCH(I16,KDF_data!$A$3:$A$90,0))</f>
        <v>55.184410095200001</v>
      </c>
      <c r="J17" s="75">
        <f>INDEX(KDF_data!$C$3:$C$90,MATCH(J16,KDF_data!$A$3:$A$90,0))</f>
        <v>50.332904815699997</v>
      </c>
      <c r="K17" s="125"/>
      <c r="M17" s="10">
        <f t="shared" ref="M17:V17" si="11">A17</f>
        <v>46.814632415799998</v>
      </c>
      <c r="N17" s="10">
        <f t="shared" si="11"/>
        <v>49.009277343800001</v>
      </c>
      <c r="O17" s="10">
        <f t="shared" si="11"/>
        <v>52.209045410199998</v>
      </c>
      <c r="P17" s="10">
        <f t="shared" si="11"/>
        <v>55.674816131599997</v>
      </c>
      <c r="Q17" s="87">
        <f t="shared" si="11"/>
        <v>9.3545198440600004</v>
      </c>
      <c r="R17" s="83">
        <f t="shared" si="11"/>
        <v>58.815933227499997</v>
      </c>
      <c r="S17" s="10">
        <f t="shared" si="11"/>
        <v>59.050918579099999</v>
      </c>
      <c r="T17" s="10">
        <f t="shared" si="11"/>
        <v>17.8658256531</v>
      </c>
      <c r="U17" s="10">
        <f t="shared" si="11"/>
        <v>55.184410095200001</v>
      </c>
      <c r="V17" s="10">
        <f t="shared" si="11"/>
        <v>50.332904815699997</v>
      </c>
      <c r="W17" s="127"/>
      <c r="X17" s="130"/>
    </row>
    <row r="18" spans="1:24" x14ac:dyDescent="0.25">
      <c r="A18" s="73">
        <f>INDEX(KDF_data!$B$3:$B$90,MATCH(A19,KDF_data!$A$3:$A$90,0))</f>
        <v>51.451538085899998</v>
      </c>
      <c r="B18" s="69">
        <f>INDEX(KDF_data!$B$3:$B$90,MATCH(B19,KDF_data!$A$3:$A$90,0))</f>
        <v>57.204795837399999</v>
      </c>
      <c r="C18" s="69">
        <f>INDEX(KDF_data!$B$3:$B$90,MATCH(C19,KDF_data!$A$3:$A$90,0))</f>
        <v>58.412624359100001</v>
      </c>
      <c r="D18" s="69">
        <f>INDEX(KDF_data!$B$3:$B$90,MATCH(D19,KDF_data!$A$3:$A$90,0))</f>
        <v>57.644104003899997</v>
      </c>
      <c r="E18" s="69">
        <f>INDEX(KDF_data!$B$3:$B$90,MATCH(E19,KDF_data!$A$3:$A$90,0))</f>
        <v>56.287693023700001</v>
      </c>
      <c r="F18" s="69">
        <f>INDEX(KDF_data!$B$3:$B$90,MATCH(F19,KDF_data!$A$3:$A$90,0))</f>
        <v>45.966934204099999</v>
      </c>
      <c r="G18" s="69">
        <f>INDEX(KDF_data!$B$3:$B$90,MATCH(G19,KDF_data!$A$3:$A$90,0))</f>
        <v>55.739402771000002</v>
      </c>
      <c r="H18" s="69">
        <f>INDEX(KDF_data!$B$3:$B$90,MATCH(H19,KDF_data!$A$3:$A$90,0))</f>
        <v>55.354927062999998</v>
      </c>
      <c r="I18" s="69">
        <f>INDEX(KDF_data!$B$3:$B$90,MATCH(I19,KDF_data!$A$3:$A$90,0))</f>
        <v>51.029014587399999</v>
      </c>
      <c r="J18" s="75">
        <f>INDEX(KDF_data!$B$3:$B$90,MATCH(J19,KDF_data!$A$3:$A$90,0))</f>
        <v>48.209072112999998</v>
      </c>
      <c r="K18" s="125"/>
      <c r="M18" s="9">
        <f t="shared" ref="M18:V18" si="12">A21</f>
        <v>52.6460876465</v>
      </c>
      <c r="N18" s="9">
        <f t="shared" si="12"/>
        <v>58.4632415771</v>
      </c>
      <c r="O18" s="9">
        <f t="shared" si="12"/>
        <v>58.1044197083</v>
      </c>
      <c r="P18" s="9">
        <f t="shared" si="12"/>
        <v>57.010387420699999</v>
      </c>
      <c r="Q18" s="85">
        <f t="shared" si="12"/>
        <v>55.4432868958</v>
      </c>
      <c r="R18" s="81">
        <f t="shared" si="12"/>
        <v>49.864696502699999</v>
      </c>
      <c r="S18" s="9">
        <f t="shared" si="12"/>
        <v>56.140754699699997</v>
      </c>
      <c r="T18" s="9">
        <f t="shared" si="12"/>
        <v>56.457805633500001</v>
      </c>
      <c r="U18" s="9">
        <f t="shared" si="12"/>
        <v>53.447723388699998</v>
      </c>
      <c r="V18" s="9">
        <f t="shared" si="12"/>
        <v>49.686622619600001</v>
      </c>
      <c r="W18" s="127"/>
      <c r="X18" s="130"/>
    </row>
    <row r="19" spans="1:24" x14ac:dyDescent="0.25">
      <c r="A19" s="74" t="s">
        <v>34</v>
      </c>
      <c r="B19" s="74" t="s">
        <v>35</v>
      </c>
      <c r="C19" s="74" t="s">
        <v>36</v>
      </c>
      <c r="D19" s="74" t="s">
        <v>37</v>
      </c>
      <c r="E19" s="74" t="s">
        <v>38</v>
      </c>
      <c r="F19" s="74" t="s">
        <v>39</v>
      </c>
      <c r="G19" s="74" t="s">
        <v>40</v>
      </c>
      <c r="H19" s="74" t="s">
        <v>41</v>
      </c>
      <c r="I19" s="74" t="s">
        <v>42</v>
      </c>
      <c r="J19" s="74" t="s">
        <v>43</v>
      </c>
      <c r="K19" s="125"/>
      <c r="M19" s="12" t="str">
        <f>A19</f>
        <v>Die 35</v>
      </c>
      <c r="N19" s="12" t="str">
        <f t="shared" ref="N19:V19" si="13">B19</f>
        <v>Die 36</v>
      </c>
      <c r="O19" s="12" t="str">
        <f t="shared" si="13"/>
        <v>Die 37</v>
      </c>
      <c r="P19" s="12" t="str">
        <f t="shared" si="13"/>
        <v>Die 38</v>
      </c>
      <c r="Q19" s="86" t="str">
        <f t="shared" si="13"/>
        <v>Die 39</v>
      </c>
      <c r="R19" s="82" t="str">
        <f t="shared" si="13"/>
        <v>Die 40</v>
      </c>
      <c r="S19" s="12" t="str">
        <f t="shared" si="13"/>
        <v>Die 41</v>
      </c>
      <c r="T19" s="12" t="str">
        <f t="shared" si="13"/>
        <v>Die 42</v>
      </c>
      <c r="U19" s="12" t="str">
        <f t="shared" si="13"/>
        <v>Die 43</v>
      </c>
      <c r="V19" s="12" t="str">
        <f t="shared" si="13"/>
        <v>Die 44</v>
      </c>
      <c r="W19" s="127"/>
      <c r="X19" s="130"/>
    </row>
    <row r="20" spans="1:24" ht="15.75" thickBot="1" x14ac:dyDescent="0.3">
      <c r="A20" s="73">
        <f>INDEX(KDF_data!$C$3:$C$90,MATCH(A19,KDF_data!$A$3:$A$90,0))</f>
        <v>47.561336517299999</v>
      </c>
      <c r="B20" s="69">
        <f>INDEX(KDF_data!$C$3:$C$90,MATCH(B19,KDF_data!$A$3:$A$90,0))</f>
        <v>50.3304977417</v>
      </c>
      <c r="C20" s="69">
        <f>INDEX(KDF_data!$C$3:$C$90,MATCH(C19,KDF_data!$A$3:$A$90,0))</f>
        <v>55.214500427200001</v>
      </c>
      <c r="D20" s="69">
        <f>INDEX(KDF_data!$C$3:$C$90,MATCH(D19,KDF_data!$A$3:$A$90,0))</f>
        <v>56.607318878199997</v>
      </c>
      <c r="E20" s="69">
        <f>INDEX(KDF_data!$C$3:$C$90,MATCH(E19,KDF_data!$A$3:$A$90,0))</f>
        <v>56.132362365699997</v>
      </c>
      <c r="F20" s="69">
        <f>INDEX(KDF_data!$C$3:$C$90,MATCH(F19,KDF_data!$A$3:$A$90,0))</f>
        <v>57.171558380100002</v>
      </c>
      <c r="G20" s="69">
        <f>INDEX(KDF_data!$C$3:$C$90,MATCH(G19,KDF_data!$A$3:$A$90,0))</f>
        <v>58.3974838257</v>
      </c>
      <c r="H20" s="69">
        <f>INDEX(KDF_data!$C$3:$C$90,MATCH(H19,KDF_data!$A$3:$A$90,0))</f>
        <v>17.504644393900001</v>
      </c>
      <c r="I20" s="69">
        <f>INDEX(KDF_data!$C$3:$C$90,MATCH(I19,KDF_data!$A$3:$A$90,0))</f>
        <v>57.952190399199999</v>
      </c>
      <c r="J20" s="75">
        <f>INDEX(KDF_data!$C$3:$C$90,MATCH(J19,KDF_data!$A$3:$A$90,0))</f>
        <v>52.292297363300001</v>
      </c>
      <c r="K20" s="125"/>
      <c r="M20" s="10">
        <f t="shared" ref="M20:V20" si="14">A20</f>
        <v>47.561336517299999</v>
      </c>
      <c r="N20" s="10">
        <f t="shared" si="14"/>
        <v>50.3304977417</v>
      </c>
      <c r="O20" s="10">
        <f t="shared" si="14"/>
        <v>55.214500427200001</v>
      </c>
      <c r="P20" s="10">
        <f t="shared" si="14"/>
        <v>56.607318878199997</v>
      </c>
      <c r="Q20" s="87">
        <f t="shared" si="14"/>
        <v>56.132362365699997</v>
      </c>
      <c r="R20" s="83">
        <f t="shared" si="14"/>
        <v>57.171558380100002</v>
      </c>
      <c r="S20" s="10">
        <f t="shared" si="14"/>
        <v>58.3974838257</v>
      </c>
      <c r="T20" s="10">
        <f t="shared" si="14"/>
        <v>17.504644393900001</v>
      </c>
      <c r="U20" s="10">
        <f t="shared" si="14"/>
        <v>57.952190399199999</v>
      </c>
      <c r="V20" s="10">
        <f t="shared" si="14"/>
        <v>52.292297363300001</v>
      </c>
      <c r="W20" s="127"/>
      <c r="X20" s="130"/>
    </row>
    <row r="21" spans="1:24" x14ac:dyDescent="0.25">
      <c r="A21" s="73">
        <f>INDEX(KDF_data!$B$3:$B$90,MATCH(A22,KDF_data!$A$3:$A$90,0))</f>
        <v>52.6460876465</v>
      </c>
      <c r="B21" s="69">
        <f>INDEX(KDF_data!$B$3:$B$90,MATCH(B22,KDF_data!$A$3:$A$90,0))</f>
        <v>58.4632415771</v>
      </c>
      <c r="C21" s="69">
        <f>INDEX(KDF_data!$B$3:$B$90,MATCH(C22,KDF_data!$A$3:$A$90,0))</f>
        <v>58.1044197083</v>
      </c>
      <c r="D21" s="69">
        <f>INDEX(KDF_data!$B$3:$B$90,MATCH(D22,KDF_data!$A$3:$A$90,0))</f>
        <v>57.010387420699999</v>
      </c>
      <c r="E21" s="69">
        <f>INDEX(KDF_data!$B$3:$B$90,MATCH(E22,KDF_data!$A$3:$A$90,0))</f>
        <v>55.4432868958</v>
      </c>
      <c r="F21" s="69">
        <f>INDEX(KDF_data!$B$3:$B$90,MATCH(F22,KDF_data!$A$3:$A$90,0))</f>
        <v>49.864696502699999</v>
      </c>
      <c r="G21" s="69">
        <f>INDEX(KDF_data!$B$3:$B$90,MATCH(G22,KDF_data!$A$3:$A$90,0))</f>
        <v>56.140754699699997</v>
      </c>
      <c r="H21" s="69">
        <f>INDEX(KDF_data!$B$3:$B$90,MATCH(H22,KDF_data!$A$3:$A$90,0))</f>
        <v>56.457805633500001</v>
      </c>
      <c r="I21" s="69">
        <f>INDEX(KDF_data!$B$3:$B$90,MATCH(I22,KDF_data!$A$3:$A$90,0))</f>
        <v>53.447723388699998</v>
      </c>
      <c r="J21" s="75">
        <f>INDEX(KDF_data!$B$3:$B$90,MATCH(J22,KDF_data!$A$3:$A$90,0))</f>
        <v>49.686622619600001</v>
      </c>
      <c r="K21" s="125"/>
      <c r="M21" s="11">
        <f t="shared" ref="M21:V21" si="15">A18</f>
        <v>51.451538085899998</v>
      </c>
      <c r="N21" s="11">
        <f t="shared" si="15"/>
        <v>57.204795837399999</v>
      </c>
      <c r="O21" s="11">
        <f t="shared" si="15"/>
        <v>58.412624359100001</v>
      </c>
      <c r="P21" s="11">
        <f t="shared" si="15"/>
        <v>57.644104003899997</v>
      </c>
      <c r="Q21" s="88">
        <f t="shared" si="15"/>
        <v>56.287693023700001</v>
      </c>
      <c r="R21" s="84">
        <f t="shared" si="15"/>
        <v>45.966934204099999</v>
      </c>
      <c r="S21" s="11">
        <f t="shared" si="15"/>
        <v>55.739402771000002</v>
      </c>
      <c r="T21" s="11">
        <f t="shared" si="15"/>
        <v>55.354927062999998</v>
      </c>
      <c r="U21" s="11">
        <f t="shared" si="15"/>
        <v>51.029014587399999</v>
      </c>
      <c r="V21" s="11">
        <f t="shared" si="15"/>
        <v>48.209072112999998</v>
      </c>
      <c r="W21" s="127"/>
      <c r="X21" s="130"/>
    </row>
    <row r="22" spans="1:24" x14ac:dyDescent="0.25">
      <c r="A22" s="74" t="s">
        <v>44</v>
      </c>
      <c r="B22" s="74" t="s">
        <v>45</v>
      </c>
      <c r="C22" s="74" t="s">
        <v>46</v>
      </c>
      <c r="D22" s="74" t="s">
        <v>47</v>
      </c>
      <c r="E22" s="74" t="s">
        <v>48</v>
      </c>
      <c r="F22" s="74" t="s">
        <v>49</v>
      </c>
      <c r="G22" s="74" t="s">
        <v>50</v>
      </c>
      <c r="H22" s="74" t="s">
        <v>51</v>
      </c>
      <c r="I22" s="74" t="s">
        <v>52</v>
      </c>
      <c r="J22" s="74" t="s">
        <v>53</v>
      </c>
      <c r="K22" s="125"/>
      <c r="M22" s="12" t="str">
        <f>A22</f>
        <v>Die 45</v>
      </c>
      <c r="N22" s="12" t="str">
        <f t="shared" ref="N22:V22" si="16">B22</f>
        <v>Die 46</v>
      </c>
      <c r="O22" s="12" t="str">
        <f t="shared" si="16"/>
        <v>Die 47</v>
      </c>
      <c r="P22" s="12" t="str">
        <f t="shared" si="16"/>
        <v>Die 48</v>
      </c>
      <c r="Q22" s="86" t="str">
        <f t="shared" si="16"/>
        <v>Die 49</v>
      </c>
      <c r="R22" s="82" t="str">
        <f t="shared" si="16"/>
        <v>Die 50</v>
      </c>
      <c r="S22" s="12" t="str">
        <f t="shared" si="16"/>
        <v>Die 51</v>
      </c>
      <c r="T22" s="12" t="str">
        <f t="shared" si="16"/>
        <v>Die 52</v>
      </c>
      <c r="U22" s="12" t="str">
        <f t="shared" si="16"/>
        <v>Die 53</v>
      </c>
      <c r="V22" s="12" t="str">
        <f t="shared" si="16"/>
        <v>Die 54</v>
      </c>
      <c r="W22" s="127"/>
      <c r="X22" s="130"/>
    </row>
    <row r="23" spans="1:24" ht="15.75" thickBot="1" x14ac:dyDescent="0.3">
      <c r="A23" s="73">
        <f>INDEX(KDF_data!$C$3:$C$90,MATCH(A22,KDF_data!$A$3:$A$90,0))</f>
        <v>49.248527526899998</v>
      </c>
      <c r="B23" s="69">
        <f>INDEX(KDF_data!$C$3:$C$90,MATCH(B22,KDF_data!$A$3:$A$90,0))</f>
        <v>52.818466186499997</v>
      </c>
      <c r="C23" s="69">
        <f>INDEX(KDF_data!$C$3:$C$90,MATCH(C22,KDF_data!$A$3:$A$90,0))</f>
        <v>56.780887603799997</v>
      </c>
      <c r="D23" s="69">
        <f>INDEX(KDF_data!$C$3:$C$90,MATCH(D22,KDF_data!$A$3:$A$90,0))</f>
        <v>55.569911956799999</v>
      </c>
      <c r="E23" s="69">
        <f>INDEX(KDF_data!$C$3:$C$90,MATCH(E22,KDF_data!$A$3:$A$90,0))</f>
        <v>56.151081085199998</v>
      </c>
      <c r="F23" s="69">
        <f>INDEX(KDF_data!$C$3:$C$90,MATCH(F22,KDF_data!$A$3:$A$90,0))</f>
        <v>9.59634780884E-2</v>
      </c>
      <c r="G23" s="69">
        <f>INDEX(KDF_data!$C$3:$C$90,MATCH(G22,KDF_data!$A$3:$A$90,0))</f>
        <v>57.471130371100003</v>
      </c>
      <c r="H23" s="69">
        <f>INDEX(KDF_data!$C$3:$C$90,MATCH(H22,KDF_data!$A$3:$A$90,0))</f>
        <v>58.746505737299998</v>
      </c>
      <c r="I23" s="69">
        <f>INDEX(KDF_data!$C$3:$C$90,MATCH(I22,KDF_data!$A$3:$A$90,0))</f>
        <v>59.026432037399999</v>
      </c>
      <c r="J23" s="75">
        <f>INDEX(KDF_data!$C$3:$C$90,MATCH(J22,KDF_data!$A$3:$A$90,0))</f>
        <v>53.209949493400003</v>
      </c>
      <c r="K23" s="125"/>
      <c r="M23" s="10">
        <f t="shared" ref="M23:V23" si="17">A23</f>
        <v>49.248527526899998</v>
      </c>
      <c r="N23" s="10">
        <f t="shared" si="17"/>
        <v>52.818466186499997</v>
      </c>
      <c r="O23" s="10">
        <f t="shared" si="17"/>
        <v>56.780887603799997</v>
      </c>
      <c r="P23" s="10">
        <f t="shared" si="17"/>
        <v>55.569911956799999</v>
      </c>
      <c r="Q23" s="87">
        <f t="shared" si="17"/>
        <v>56.151081085199998</v>
      </c>
      <c r="R23" s="83">
        <f t="shared" si="17"/>
        <v>9.59634780884E-2</v>
      </c>
      <c r="S23" s="10">
        <f t="shared" si="17"/>
        <v>57.471130371100003</v>
      </c>
      <c r="T23" s="10">
        <f t="shared" si="17"/>
        <v>58.746505737299998</v>
      </c>
      <c r="U23" s="10">
        <f t="shared" si="17"/>
        <v>59.026432037399999</v>
      </c>
      <c r="V23" s="10">
        <f t="shared" si="17"/>
        <v>53.209949493400003</v>
      </c>
      <c r="W23" s="127"/>
      <c r="X23" s="130"/>
    </row>
    <row r="24" spans="1:24" x14ac:dyDescent="0.25">
      <c r="A24" s="73">
        <f>INDEX(KDF_data!$B$3:$B$90,MATCH(A25,KDF_data!$A$3:$A$90,0))</f>
        <v>52.197074890099998</v>
      </c>
      <c r="B24" s="69">
        <f>INDEX(KDF_data!$B$3:$B$90,MATCH(B25,KDF_data!$A$3:$A$90,0))</f>
        <v>57.370185852100001</v>
      </c>
      <c r="C24" s="69">
        <f>INDEX(KDF_data!$B$3:$B$90,MATCH(C25,KDF_data!$A$3:$A$90,0))</f>
        <v>58.407234191900002</v>
      </c>
      <c r="D24" s="69">
        <f>INDEX(KDF_data!$B$3:$B$90,MATCH(D25,KDF_data!$A$3:$A$90,0))</f>
        <v>57.0726165771</v>
      </c>
      <c r="E24" s="69">
        <f>INDEX(KDF_data!$B$3:$B$90,MATCH(E25,KDF_data!$A$3:$A$90,0))</f>
        <v>51.3203125</v>
      </c>
      <c r="F24" s="69">
        <f>INDEX(KDF_data!$B$3:$B$90,MATCH(F25,KDF_data!$A$3:$A$90,0))</f>
        <v>33.286643981899999</v>
      </c>
      <c r="G24" s="69">
        <f>INDEX(KDF_data!$B$3:$B$90,MATCH(G25,KDF_data!$A$3:$A$90,0))</f>
        <v>56.603790283199999</v>
      </c>
      <c r="H24" s="69">
        <f>INDEX(KDF_data!$B$3:$B$90,MATCH(H25,KDF_data!$A$3:$A$90,0))</f>
        <v>10.660672187799999</v>
      </c>
      <c r="I24" s="69">
        <f>INDEX(KDF_data!$B$3:$B$90,MATCH(I25,KDF_data!$A$3:$A$90,0))</f>
        <v>56.408645629900001</v>
      </c>
      <c r="J24" s="75">
        <f>INDEX(KDF_data!$B$3:$B$90,MATCH(J25,KDF_data!$A$3:$A$90,0))</f>
        <v>52.041267394999998</v>
      </c>
      <c r="K24" s="125"/>
      <c r="M24" s="9">
        <f t="shared" ref="M24:V24" si="18">A15</f>
        <v>49.661231994600001</v>
      </c>
      <c r="N24" s="9">
        <f t="shared" si="18"/>
        <v>54.556228637700002</v>
      </c>
      <c r="O24" s="9">
        <f t="shared" si="18"/>
        <v>0.35614967346199999</v>
      </c>
      <c r="P24" s="9">
        <f t="shared" si="18"/>
        <v>58.547569274899999</v>
      </c>
      <c r="Q24" s="85">
        <f t="shared" si="18"/>
        <v>58.231090545699999</v>
      </c>
      <c r="R24" s="81">
        <f t="shared" si="18"/>
        <v>7.2160720825200002</v>
      </c>
      <c r="S24" s="9">
        <f t="shared" si="18"/>
        <v>0.51712989807099996</v>
      </c>
      <c r="T24" s="9">
        <f t="shared" si="18"/>
        <v>51.566291809100001</v>
      </c>
      <c r="U24" s="9">
        <f t="shared" si="18"/>
        <v>48.962997436499997</v>
      </c>
      <c r="V24" s="9">
        <f t="shared" si="18"/>
        <v>47.819519043</v>
      </c>
      <c r="W24" s="127"/>
      <c r="X24" s="130"/>
    </row>
    <row r="25" spans="1:24" ht="15.75" thickBot="1" x14ac:dyDescent="0.3">
      <c r="A25" s="74" t="s">
        <v>54</v>
      </c>
      <c r="B25" s="74" t="s">
        <v>55</v>
      </c>
      <c r="C25" s="74" t="s">
        <v>56</v>
      </c>
      <c r="D25" s="74" t="s">
        <v>57</v>
      </c>
      <c r="E25" s="74" t="s">
        <v>58</v>
      </c>
      <c r="F25" s="74" t="s">
        <v>59</v>
      </c>
      <c r="G25" s="74" t="s">
        <v>60</v>
      </c>
      <c r="H25" s="74" t="s">
        <v>61</v>
      </c>
      <c r="I25" s="74" t="s">
        <v>62</v>
      </c>
      <c r="J25" s="74" t="s">
        <v>63</v>
      </c>
      <c r="K25" s="125"/>
      <c r="M25" s="12" t="str">
        <f>A25</f>
        <v>Die 55</v>
      </c>
      <c r="N25" s="12" t="str">
        <f t="shared" ref="N25:V25" si="19">B25</f>
        <v>Die 56</v>
      </c>
      <c r="O25" s="12" t="str">
        <f t="shared" si="19"/>
        <v>Die 57</v>
      </c>
      <c r="P25" s="12" t="str">
        <f t="shared" si="19"/>
        <v>Die 58</v>
      </c>
      <c r="Q25" s="86" t="str">
        <f t="shared" si="19"/>
        <v>Die 59</v>
      </c>
      <c r="R25" s="82" t="str">
        <f t="shared" si="19"/>
        <v>Die 60</v>
      </c>
      <c r="S25" s="12" t="str">
        <f t="shared" si="19"/>
        <v>Die 61</v>
      </c>
      <c r="T25" s="12" t="str">
        <f t="shared" si="19"/>
        <v>Die 62</v>
      </c>
      <c r="U25" s="12" t="str">
        <f t="shared" si="19"/>
        <v>Die 63</v>
      </c>
      <c r="V25" s="12" t="str">
        <f t="shared" si="19"/>
        <v>Die 64</v>
      </c>
      <c r="W25" s="127"/>
      <c r="X25" s="131"/>
    </row>
    <row r="26" spans="1:24" ht="15.75" thickBot="1" x14ac:dyDescent="0.3">
      <c r="A26" s="73">
        <f>INDEX(KDF_data!$C$3:$C$90,MATCH(A25,KDF_data!$A$3:$A$90,0))</f>
        <v>51.2733917236</v>
      </c>
      <c r="B26" s="69">
        <f>INDEX(KDF_data!$C$3:$C$90,MATCH(B25,KDF_data!$A$3:$A$90,0))</f>
        <v>56.2555084229</v>
      </c>
      <c r="C26" s="69">
        <f>INDEX(KDF_data!$C$3:$C$90,MATCH(C25,KDF_data!$A$3:$A$90,0))</f>
        <v>3.6787033081099998</v>
      </c>
      <c r="D26" s="69">
        <f>INDEX(KDF_data!$C$3:$C$90,MATCH(D25,KDF_data!$A$3:$A$90,0))</f>
        <v>57.0216674805</v>
      </c>
      <c r="E26" s="69">
        <f>INDEX(KDF_data!$C$3:$C$90,MATCH(E25,KDF_data!$A$3:$A$90,0))</f>
        <v>56.011318206799999</v>
      </c>
      <c r="F26" s="69">
        <f>INDEX(KDF_data!$C$3:$C$90,MATCH(F25,KDF_data!$A$3:$A$90,0))</f>
        <v>56.116889953600001</v>
      </c>
      <c r="G26" s="69">
        <f>INDEX(KDF_data!$C$3:$C$90,MATCH(G25,KDF_data!$A$3:$A$90,0))</f>
        <v>57.320499420200001</v>
      </c>
      <c r="H26" s="69">
        <f>INDEX(KDF_data!$C$3:$C$90,MATCH(H25,KDF_data!$A$3:$A$90,0))</f>
        <v>58.812950134300003</v>
      </c>
      <c r="I26" s="69">
        <f>INDEX(KDF_data!$C$3:$C$90,MATCH(I25,KDF_data!$A$3:$A$90,0))</f>
        <v>58.839775085399999</v>
      </c>
      <c r="J26" s="75">
        <f>INDEX(KDF_data!$C$3:$C$90,MATCH(J25,KDF_data!$A$3:$A$90,0))</f>
        <v>53.586982727100001</v>
      </c>
      <c r="K26" s="125"/>
      <c r="M26" s="10">
        <f>A26</f>
        <v>51.2733917236</v>
      </c>
      <c r="N26" s="10">
        <f t="shared" ref="N26:V26" si="20">B26</f>
        <v>56.2555084229</v>
      </c>
      <c r="O26" s="10">
        <f t="shared" si="20"/>
        <v>3.6787033081099998</v>
      </c>
      <c r="P26" s="10">
        <f t="shared" si="20"/>
        <v>57.0216674805</v>
      </c>
      <c r="Q26" s="87">
        <f t="shared" si="20"/>
        <v>56.011318206799999</v>
      </c>
      <c r="R26" s="83">
        <f t="shared" si="20"/>
        <v>56.116889953600001</v>
      </c>
      <c r="S26" s="10">
        <f t="shared" si="20"/>
        <v>57.320499420200001</v>
      </c>
      <c r="T26" s="10">
        <f t="shared" si="20"/>
        <v>58.812950134300003</v>
      </c>
      <c r="U26" s="10">
        <f t="shared" si="20"/>
        <v>58.839775085399999</v>
      </c>
      <c r="V26" s="10">
        <f t="shared" si="20"/>
        <v>53.586982727100001</v>
      </c>
      <c r="W26" s="127"/>
      <c r="X26" s="66"/>
    </row>
    <row r="27" spans="1:24" x14ac:dyDescent="0.25">
      <c r="A27" s="73">
        <f>INDEX(KDF_data!$B$3:$B$90,MATCH(A28,KDF_data!$A$3:$A$90,0))</f>
        <v>51.428676605200003</v>
      </c>
      <c r="B27" s="69">
        <f>INDEX(KDF_data!$B$3:$B$90,MATCH(B28,KDF_data!$A$3:$A$90,0))</f>
        <v>55.601547241200002</v>
      </c>
      <c r="C27" s="69">
        <f>INDEX(KDF_data!$B$3:$B$90,MATCH(C28,KDF_data!$A$3:$A$90,0))</f>
        <v>57.351375579799999</v>
      </c>
      <c r="D27" s="69">
        <f>INDEX(KDF_data!$B$3:$B$90,MATCH(D28,KDF_data!$A$3:$A$90,0))</f>
        <v>56.703353881799998</v>
      </c>
      <c r="E27" s="69">
        <f>INDEX(KDF_data!$B$3:$B$90,MATCH(E28,KDF_data!$A$3:$A$90,0))</f>
        <v>57.401062011699999</v>
      </c>
      <c r="F27" s="69">
        <f>INDEX(KDF_data!$B$3:$B$90,MATCH(F28,KDF_data!$A$3:$A$90,0))</f>
        <v>57.098556518599999</v>
      </c>
      <c r="G27" s="69">
        <f>INDEX(KDF_data!$B$3:$B$90,MATCH(G28,KDF_data!$A$3:$A$90,0))</f>
        <v>57.751846313500003</v>
      </c>
      <c r="H27" s="69">
        <f>INDEX(KDF_data!$B$3:$B$90,MATCH(H28,KDF_data!$A$3:$A$90,0))</f>
        <v>57.665325164800002</v>
      </c>
      <c r="I27" s="69">
        <f>INDEX(KDF_data!$B$3:$B$90,MATCH(I28,KDF_data!$A$3:$A$90,0))</f>
        <v>57.620429992699997</v>
      </c>
      <c r="J27" s="75">
        <f>INDEX(KDF_data!$B$3:$B$90,MATCH(J28,KDF_data!$A$3:$A$90,0))</f>
        <v>54.333900451700003</v>
      </c>
      <c r="K27" s="125"/>
      <c r="M27" s="9">
        <f t="shared" ref="M27:V27" si="21">A12</f>
        <v>41.148803710899998</v>
      </c>
      <c r="N27" s="9">
        <f t="shared" si="21"/>
        <v>52.754116058299999</v>
      </c>
      <c r="O27" s="9">
        <f t="shared" si="21"/>
        <v>58.244895935099997</v>
      </c>
      <c r="P27" s="9">
        <f t="shared" si="21"/>
        <v>58.948753356899999</v>
      </c>
      <c r="Q27" s="85">
        <f t="shared" si="21"/>
        <v>45.977806091300003</v>
      </c>
      <c r="R27" s="81">
        <f t="shared" si="21"/>
        <v>55.478263855000002</v>
      </c>
      <c r="S27" s="9">
        <f t="shared" si="21"/>
        <v>52.4308700562</v>
      </c>
      <c r="T27" s="9">
        <f t="shared" si="21"/>
        <v>49.480606079099999</v>
      </c>
      <c r="U27" s="9">
        <f t="shared" si="21"/>
        <v>48.024772644000002</v>
      </c>
      <c r="V27" s="9">
        <f t="shared" si="21"/>
        <v>46.378944396999998</v>
      </c>
      <c r="W27" s="127"/>
      <c r="X27" s="66"/>
    </row>
    <row r="28" spans="1:24" x14ac:dyDescent="0.25">
      <c r="A28" s="74" t="s">
        <v>64</v>
      </c>
      <c r="B28" s="74" t="s">
        <v>65</v>
      </c>
      <c r="C28" s="74" t="s">
        <v>66</v>
      </c>
      <c r="D28" s="74" t="s">
        <v>67</v>
      </c>
      <c r="E28" s="74" t="s">
        <v>68</v>
      </c>
      <c r="F28" s="74" t="s">
        <v>69</v>
      </c>
      <c r="G28" s="74" t="s">
        <v>70</v>
      </c>
      <c r="H28" s="74" t="s">
        <v>71</v>
      </c>
      <c r="I28" s="74" t="s">
        <v>72</v>
      </c>
      <c r="J28" s="74" t="s">
        <v>73</v>
      </c>
      <c r="K28" s="125"/>
      <c r="M28" s="12" t="str">
        <f>A28</f>
        <v>Die 65</v>
      </c>
      <c r="N28" s="12" t="str">
        <f t="shared" ref="N28:V28" si="22">B28</f>
        <v>Die 66</v>
      </c>
      <c r="O28" s="12" t="str">
        <f t="shared" si="22"/>
        <v>Die 67</v>
      </c>
      <c r="P28" s="12" t="str">
        <f t="shared" si="22"/>
        <v>Die 68</v>
      </c>
      <c r="Q28" s="86" t="str">
        <f t="shared" si="22"/>
        <v>Die 69</v>
      </c>
      <c r="R28" s="82" t="str">
        <f t="shared" si="22"/>
        <v>Die 70</v>
      </c>
      <c r="S28" s="12" t="str">
        <f t="shared" si="22"/>
        <v>Die 71</v>
      </c>
      <c r="T28" s="12" t="str">
        <f t="shared" si="22"/>
        <v>Die 72</v>
      </c>
      <c r="U28" s="12" t="str">
        <f t="shared" si="22"/>
        <v>Die 73</v>
      </c>
      <c r="V28" s="12" t="str">
        <f t="shared" si="22"/>
        <v>Die 74</v>
      </c>
      <c r="W28" s="127"/>
      <c r="X28" s="66"/>
    </row>
    <row r="29" spans="1:24" ht="15.75" thickBot="1" x14ac:dyDescent="0.3">
      <c r="A29" s="73">
        <f>INDEX(KDF_data!$C$3:$C$90,MATCH(A28,KDF_data!$A$3:$A$90,0))</f>
        <v>51.867771148700001</v>
      </c>
      <c r="B29" s="69">
        <f>INDEX(KDF_data!$C$3:$C$90,MATCH(B28,KDF_data!$A$3:$A$90,0))</f>
        <v>57.570480346700002</v>
      </c>
      <c r="C29" s="69">
        <f>INDEX(KDF_data!$C$3:$C$90,MATCH(C28,KDF_data!$A$3:$A$90,0))</f>
        <v>57.074691772500003</v>
      </c>
      <c r="D29" s="69">
        <f>INDEX(KDF_data!$C$3:$C$90,MATCH(D28,KDF_data!$A$3:$A$90,0))</f>
        <v>57.8838348389</v>
      </c>
      <c r="E29" s="69">
        <f>INDEX(KDF_data!$C$3:$C$90,MATCH(E28,KDF_data!$A$3:$A$90,0))</f>
        <v>57.862972259499998</v>
      </c>
      <c r="F29" s="69">
        <f>INDEX(KDF_data!$C$3:$C$90,MATCH(F28,KDF_data!$A$3:$A$90,0))</f>
        <v>57.956741332999997</v>
      </c>
      <c r="G29" s="69">
        <f>INDEX(KDF_data!$C$3:$C$90,MATCH(G28,KDF_data!$A$3:$A$90,0))</f>
        <v>55.610298156699997</v>
      </c>
      <c r="H29" s="69">
        <f>INDEX(KDF_data!$C$3:$C$90,MATCH(H28,KDF_data!$A$3:$A$90,0))</f>
        <v>58.818649292000003</v>
      </c>
      <c r="I29" s="69">
        <f>INDEX(KDF_data!$C$3:$C$90,MATCH(I28,KDF_data!$A$3:$A$90,0))</f>
        <v>57.769489288300001</v>
      </c>
      <c r="J29" s="75">
        <f>INDEX(KDF_data!$C$3:$C$90,MATCH(J28,KDF_data!$A$3:$A$90,0))</f>
        <v>1.2235403060900001</v>
      </c>
      <c r="K29" s="125"/>
      <c r="M29" s="10">
        <f t="shared" ref="M29:V29" si="23">A29</f>
        <v>51.867771148700001</v>
      </c>
      <c r="N29" s="10">
        <f t="shared" si="23"/>
        <v>57.570480346700002</v>
      </c>
      <c r="O29" s="10">
        <f t="shared" si="23"/>
        <v>57.074691772500003</v>
      </c>
      <c r="P29" s="10">
        <f t="shared" si="23"/>
        <v>57.8838348389</v>
      </c>
      <c r="Q29" s="87">
        <f t="shared" si="23"/>
        <v>57.862972259499998</v>
      </c>
      <c r="R29" s="83">
        <f t="shared" si="23"/>
        <v>57.956741332999997</v>
      </c>
      <c r="S29" s="10">
        <f t="shared" si="23"/>
        <v>55.610298156699997</v>
      </c>
      <c r="T29" s="10">
        <f t="shared" si="23"/>
        <v>58.818649292000003</v>
      </c>
      <c r="U29" s="10">
        <f t="shared" si="23"/>
        <v>57.769489288300001</v>
      </c>
      <c r="V29" s="10">
        <f t="shared" si="23"/>
        <v>1.2235403060900001</v>
      </c>
      <c r="W29" s="128"/>
      <c r="X29" s="66"/>
    </row>
    <row r="30" spans="1:24" x14ac:dyDescent="0.25">
      <c r="A30" s="60"/>
      <c r="B30" s="69">
        <f>INDEX(KDF_data!$B$3:$B$90,MATCH(B31,KDF_data!$A$3:$A$90,0))</f>
        <v>52.816154480000002</v>
      </c>
      <c r="C30" s="69">
        <f>INDEX(KDF_data!$B$3:$B$90,MATCH(C31,KDF_data!$A$3:$A$90,0))</f>
        <v>56.010437011699999</v>
      </c>
      <c r="D30" s="69">
        <f>INDEX(KDF_data!$B$3:$B$90,MATCH(D31,KDF_data!$A$3:$A$90,0))</f>
        <v>57.682464599600003</v>
      </c>
      <c r="E30" s="69">
        <f>INDEX(KDF_data!$B$3:$B$90,MATCH(E31,KDF_data!$A$3:$A$90,0))</f>
        <v>58.2031478882</v>
      </c>
      <c r="F30" s="69">
        <f>INDEX(KDF_data!$B$3:$B$90,MATCH(F31,KDF_data!$A$3:$A$90,0))</f>
        <v>57.726333618200002</v>
      </c>
      <c r="G30" s="69">
        <f>INDEX(KDF_data!$B$3:$B$90,MATCH(G31,KDF_data!$A$3:$A$90,0))</f>
        <v>57.680679321299998</v>
      </c>
      <c r="H30" s="69">
        <f>INDEX(KDF_data!$B$3:$B$90,MATCH(H31,KDF_data!$A$3:$A$90,0))</f>
        <v>58.382247924799998</v>
      </c>
      <c r="I30" s="69">
        <f>INDEX(KDF_data!$B$3:$B$90,MATCH(I31,KDF_data!$A$3:$A$90,0))</f>
        <v>57.333946228000002</v>
      </c>
      <c r="J30" s="76"/>
      <c r="M30" s="4"/>
      <c r="N30" s="9">
        <f t="shared" ref="N30:U30" si="24">B9</f>
        <v>50.343776702900001</v>
      </c>
      <c r="O30" s="9">
        <f t="shared" si="24"/>
        <v>55.379199981699998</v>
      </c>
      <c r="P30" s="9">
        <f t="shared" si="24"/>
        <v>59.4585647583</v>
      </c>
      <c r="Q30" s="85">
        <f t="shared" si="24"/>
        <v>56.421447753899997</v>
      </c>
      <c r="R30" s="81">
        <f t="shared" si="24"/>
        <v>51.589870452900001</v>
      </c>
      <c r="S30" s="9">
        <f t="shared" si="24"/>
        <v>49.080513000499998</v>
      </c>
      <c r="T30" s="9">
        <f t="shared" si="24"/>
        <v>47.641086578399999</v>
      </c>
      <c r="U30" s="9">
        <f t="shared" si="24"/>
        <v>42.337535858199999</v>
      </c>
      <c r="V30" s="62"/>
    </row>
    <row r="31" spans="1:24" x14ac:dyDescent="0.25">
      <c r="A31" s="60"/>
      <c r="B31" s="68" t="s">
        <v>74</v>
      </c>
      <c r="C31" s="68" t="s">
        <v>75</v>
      </c>
      <c r="D31" s="68" t="s">
        <v>76</v>
      </c>
      <c r="E31" s="68" t="s">
        <v>77</v>
      </c>
      <c r="F31" s="68" t="s">
        <v>78</v>
      </c>
      <c r="G31" s="68" t="s">
        <v>79</v>
      </c>
      <c r="H31" s="68" t="s">
        <v>80</v>
      </c>
      <c r="I31" s="68" t="s">
        <v>81</v>
      </c>
      <c r="J31" s="76"/>
      <c r="M31" s="4"/>
      <c r="N31" s="12" t="str">
        <f>B31</f>
        <v>Die 75</v>
      </c>
      <c r="O31" s="12" t="str">
        <f t="shared" ref="O31:U31" si="25">C31</f>
        <v>Die 76</v>
      </c>
      <c r="P31" s="12" t="str">
        <f t="shared" si="25"/>
        <v>Die 77</v>
      </c>
      <c r="Q31" s="86" t="str">
        <f t="shared" si="25"/>
        <v>Die 78</v>
      </c>
      <c r="R31" s="82" t="str">
        <f t="shared" si="25"/>
        <v>Die 79</v>
      </c>
      <c r="S31" s="12" t="str">
        <f t="shared" si="25"/>
        <v>Die 80</v>
      </c>
      <c r="T31" s="12" t="str">
        <f t="shared" si="25"/>
        <v>Die 81</v>
      </c>
      <c r="U31" s="12" t="str">
        <f t="shared" si="25"/>
        <v>Die 82</v>
      </c>
      <c r="V31" s="62"/>
    </row>
    <row r="32" spans="1:24" ht="15.75" thickBot="1" x14ac:dyDescent="0.3">
      <c r="A32" s="60"/>
      <c r="B32" s="69">
        <f>INDEX(KDF_data!$C$3:$C$90,MATCH(B31,KDF_data!$A$3:$A$90,0))</f>
        <v>15.554428100599999</v>
      </c>
      <c r="C32" s="69">
        <f>INDEX(KDF_data!$C$3:$C$90,MATCH(C31,KDF_data!$A$3:$A$90,0))</f>
        <v>57.912635803199997</v>
      </c>
      <c r="D32" s="69">
        <f>INDEX(KDF_data!$C$3:$C$90,MATCH(D31,KDF_data!$A$3:$A$90,0))</f>
        <v>58.839298248299997</v>
      </c>
      <c r="E32" s="69">
        <f>INDEX(KDF_data!$C$3:$C$90,MATCH(E31,KDF_data!$A$3:$A$90,0))</f>
        <v>8.7308883667000001E-2</v>
      </c>
      <c r="F32" s="69">
        <f>INDEX(KDF_data!$C$3:$C$90,MATCH(F31,KDF_data!$A$3:$A$90,0))</f>
        <v>58.830619812000002</v>
      </c>
      <c r="G32" s="69">
        <f>INDEX(KDF_data!$C$3:$C$90,MATCH(G31,KDF_data!$A$3:$A$90,0))</f>
        <v>58.776927948000001</v>
      </c>
      <c r="H32" s="69">
        <f>INDEX(KDF_data!$C$3:$C$90,MATCH(H31,KDF_data!$A$3:$A$90,0))</f>
        <v>57.9579849243</v>
      </c>
      <c r="I32" s="69">
        <f>INDEX(KDF_data!$C$3:$C$90,MATCH(I31,KDF_data!$A$3:$A$90,0))</f>
        <v>52.9849777222</v>
      </c>
      <c r="J32" s="76"/>
      <c r="M32" s="4"/>
      <c r="N32" s="10">
        <f t="shared" ref="N32:U32" si="26">B32</f>
        <v>15.554428100599999</v>
      </c>
      <c r="O32" s="10">
        <f t="shared" si="26"/>
        <v>57.912635803199997</v>
      </c>
      <c r="P32" s="10">
        <f t="shared" si="26"/>
        <v>58.839298248299997</v>
      </c>
      <c r="Q32" s="87">
        <f t="shared" si="26"/>
        <v>8.7308883667000001E-2</v>
      </c>
      <c r="R32" s="83">
        <f t="shared" si="26"/>
        <v>58.830619812000002</v>
      </c>
      <c r="S32" s="10">
        <f t="shared" si="26"/>
        <v>58.776927948000001</v>
      </c>
      <c r="T32" s="10">
        <f t="shared" si="26"/>
        <v>57.9579849243</v>
      </c>
      <c r="U32" s="10">
        <f t="shared" si="26"/>
        <v>52.9849777222</v>
      </c>
      <c r="V32" s="62"/>
    </row>
    <row r="33" spans="1:24" x14ac:dyDescent="0.25">
      <c r="A33" s="60"/>
      <c r="B33" s="62"/>
      <c r="C33" s="54">
        <f>INDEX(KDF_data!$B$3:$B$90,MATCH(C34,KDF_data!$A$3:$A$90,0))</f>
        <v>52.699684143100001</v>
      </c>
      <c r="D33" s="54">
        <f>INDEX(KDF_data!$B$3:$B$90,MATCH(D34,KDF_data!$A$3:$A$90,0))</f>
        <v>0.69169998168900004</v>
      </c>
      <c r="E33" s="54">
        <f>INDEX(KDF_data!$B$3:$B$90,MATCH(E34,KDF_data!$A$3:$A$90,0))</f>
        <v>56.568908691399997</v>
      </c>
      <c r="F33" s="54">
        <f>INDEX(KDF_data!$B$3:$B$90,MATCH(F34,KDF_data!$A$3:$A$90,0))</f>
        <v>55.476093292199998</v>
      </c>
      <c r="G33" s="54">
        <f>INDEX(KDF_data!$B$3:$B$90,MATCH(G34,KDF_data!$A$3:$A$90,0))</f>
        <v>56.663894653299998</v>
      </c>
      <c r="H33" s="54">
        <f>INDEX(KDF_data!$B$3:$B$90,MATCH(H34,KDF_data!$A$3:$A$90,0))</f>
        <v>56.4687271118</v>
      </c>
      <c r="I33" s="78"/>
      <c r="J33" s="71"/>
      <c r="M33" s="4"/>
      <c r="N33" s="4"/>
      <c r="O33" s="9">
        <f t="shared" ref="O33:T33" si="27">C6</f>
        <v>20.487903594999999</v>
      </c>
      <c r="P33" s="9">
        <f t="shared" si="27"/>
        <v>53.5599212646</v>
      </c>
      <c r="Q33" s="85">
        <f t="shared" si="27"/>
        <v>52.9107589722</v>
      </c>
      <c r="R33" s="81">
        <f t="shared" si="27"/>
        <v>50.538589477499997</v>
      </c>
      <c r="S33" s="9">
        <f t="shared" si="27"/>
        <v>48.886871337899997</v>
      </c>
      <c r="T33" s="9">
        <f t="shared" si="27"/>
        <v>23.578500747700001</v>
      </c>
      <c r="U33" s="62"/>
      <c r="V33" s="62"/>
    </row>
    <row r="34" spans="1:24" x14ac:dyDescent="0.25">
      <c r="A34" s="60"/>
      <c r="B34" s="62"/>
      <c r="C34" s="68" t="s">
        <v>82</v>
      </c>
      <c r="D34" s="68" t="s">
        <v>83</v>
      </c>
      <c r="E34" s="68" t="s">
        <v>84</v>
      </c>
      <c r="F34" s="68" t="s">
        <v>85</v>
      </c>
      <c r="G34" s="68" t="s">
        <v>86</v>
      </c>
      <c r="H34" s="68" t="s">
        <v>87</v>
      </c>
      <c r="I34" s="71"/>
      <c r="J34" s="71"/>
      <c r="M34" s="4"/>
      <c r="N34" s="4"/>
      <c r="O34" s="12" t="str">
        <f>C34</f>
        <v>Die 83</v>
      </c>
      <c r="P34" s="12" t="str">
        <f t="shared" ref="P34:T34" si="28">D34</f>
        <v>Die 84</v>
      </c>
      <c r="Q34" s="86" t="str">
        <f t="shared" si="28"/>
        <v>Die 85</v>
      </c>
      <c r="R34" s="82" t="str">
        <f t="shared" si="28"/>
        <v>Die 86</v>
      </c>
      <c r="S34" s="12" t="str">
        <f t="shared" si="28"/>
        <v>Die 87</v>
      </c>
      <c r="T34" s="12" t="str">
        <f t="shared" si="28"/>
        <v>Die 88</v>
      </c>
      <c r="U34" s="62"/>
      <c r="V34" s="62"/>
    </row>
    <row r="35" spans="1:24" ht="15.75" thickBot="1" x14ac:dyDescent="0.3">
      <c r="A35" s="61"/>
      <c r="B35" s="63"/>
      <c r="C35" s="69">
        <f>INDEX(KDF_data!$C$3:$C$90,MATCH(C34,KDF_data!$A$3:$A$90,0))</f>
        <v>54.357170105000002</v>
      </c>
      <c r="D35" s="69">
        <f>INDEX(KDF_data!$C$3:$C$90,MATCH(D34,KDF_data!$A$3:$A$90,0))</f>
        <v>3.66451740265</v>
      </c>
      <c r="E35" s="69">
        <f>INDEX(KDF_data!$C$3:$C$90,MATCH(E34,KDF_data!$A$3:$A$90,0))</f>
        <v>58.037544250499998</v>
      </c>
      <c r="F35" s="69">
        <f>INDEX(KDF_data!$C$3:$C$90,MATCH(F34,KDF_data!$A$3:$A$90,0))</f>
        <v>57.633735656699997</v>
      </c>
      <c r="G35" s="69">
        <f>INDEX(KDF_data!$C$3:$C$90,MATCH(G34,KDF_data!$A$3:$A$90,0))</f>
        <v>56.185485839800002</v>
      </c>
      <c r="H35" s="69">
        <f>INDEX(KDF_data!$C$3:$C$90,MATCH(H34,KDF_data!$A$3:$A$90,0))</f>
        <v>52.332210540799998</v>
      </c>
      <c r="I35" s="71"/>
      <c r="J35" s="71"/>
      <c r="M35" s="4"/>
      <c r="N35" s="4"/>
      <c r="O35" s="10">
        <f t="shared" ref="O35:T35" si="29">C35</f>
        <v>54.357170105000002</v>
      </c>
      <c r="P35" s="10">
        <f t="shared" si="29"/>
        <v>3.66451740265</v>
      </c>
      <c r="Q35" s="87">
        <f t="shared" si="29"/>
        <v>58.037544250499998</v>
      </c>
      <c r="R35" s="83">
        <f t="shared" si="29"/>
        <v>57.633735656699997</v>
      </c>
      <c r="S35" s="10">
        <f t="shared" si="29"/>
        <v>56.185485839800002</v>
      </c>
      <c r="T35" s="10">
        <f t="shared" si="29"/>
        <v>52.332210540799998</v>
      </c>
      <c r="U35" s="62"/>
      <c r="V35" s="62"/>
    </row>
    <row r="36" spans="1:24" ht="15" customHeight="1" thickBot="1" x14ac:dyDescent="0.3">
      <c r="C36" s="123" t="s">
        <v>181</v>
      </c>
      <c r="D36" s="123"/>
      <c r="E36" s="123"/>
      <c r="F36" s="123"/>
      <c r="G36" s="123"/>
      <c r="H36" s="123"/>
    </row>
    <row r="37" spans="1:24" x14ac:dyDescent="0.25">
      <c r="C37" s="124"/>
      <c r="D37" s="124"/>
      <c r="E37" s="124"/>
      <c r="F37" s="124"/>
      <c r="G37" s="124"/>
      <c r="H37" s="124"/>
      <c r="M37" s="62"/>
      <c r="N37" s="62"/>
      <c r="O37" s="9">
        <f>O8</f>
        <v>33.266685485799997</v>
      </c>
      <c r="P37" s="9">
        <f t="shared" ref="P37:S37" si="30">P8</f>
        <v>47.286750793499998</v>
      </c>
      <c r="Q37" s="9">
        <f t="shared" si="30"/>
        <v>48.572181701700003</v>
      </c>
      <c r="R37" s="9">
        <f t="shared" si="30"/>
        <v>51.243614196800003</v>
      </c>
      <c r="S37" s="9">
        <f t="shared" si="30"/>
        <v>52.152656555199997</v>
      </c>
      <c r="T37" s="9">
        <f>T8</f>
        <v>2.3889541625999999E-2</v>
      </c>
      <c r="U37" s="4"/>
      <c r="V37" s="4"/>
    </row>
    <row r="38" spans="1:24" x14ac:dyDescent="0.25">
      <c r="C38" s="124"/>
      <c r="D38" s="124"/>
      <c r="E38" s="124"/>
      <c r="F38" s="124"/>
      <c r="G38" s="124"/>
      <c r="H38" s="124"/>
      <c r="M38" s="62"/>
      <c r="N38" s="62"/>
      <c r="O38" s="12" t="str">
        <f>C7</f>
        <v>Die 1</v>
      </c>
      <c r="P38" s="12" t="str">
        <f t="shared" ref="P38:T38" si="31">D7</f>
        <v>Die 2</v>
      </c>
      <c r="Q38" s="12" t="str">
        <f t="shared" si="31"/>
        <v>Die 3</v>
      </c>
      <c r="R38" s="12" t="str">
        <f t="shared" si="31"/>
        <v>Die 4</v>
      </c>
      <c r="S38" s="12" t="str">
        <f t="shared" si="31"/>
        <v>Die 5</v>
      </c>
      <c r="T38" s="12" t="str">
        <f t="shared" si="31"/>
        <v>Die 6</v>
      </c>
      <c r="U38" s="4"/>
      <c r="V38" s="4"/>
    </row>
    <row r="39" spans="1:24" ht="15.75" thickBot="1" x14ac:dyDescent="0.3">
      <c r="M39" s="62"/>
      <c r="N39" s="62"/>
      <c r="O39" s="10">
        <f>O6</f>
        <v>52.699684143100001</v>
      </c>
      <c r="P39" s="10">
        <f t="shared" ref="P39:T39" si="32">P6</f>
        <v>0.69169998168900004</v>
      </c>
      <c r="Q39" s="10">
        <f t="shared" si="32"/>
        <v>56.568908691399997</v>
      </c>
      <c r="R39" s="10">
        <f t="shared" si="32"/>
        <v>55.476093292199998</v>
      </c>
      <c r="S39" s="10">
        <f t="shared" si="32"/>
        <v>56.663894653299998</v>
      </c>
      <c r="T39" s="10">
        <f t="shared" si="32"/>
        <v>56.4687271118</v>
      </c>
      <c r="U39" s="4"/>
      <c r="V39" s="4"/>
    </row>
    <row r="40" spans="1:24" x14ac:dyDescent="0.25">
      <c r="M40" s="62"/>
      <c r="N40" s="9">
        <f>N11</f>
        <v>45.660232543900001</v>
      </c>
      <c r="O40" s="9">
        <f t="shared" ref="O40:U40" si="33">O11</f>
        <v>47.447181701700003</v>
      </c>
      <c r="P40" s="9">
        <f t="shared" si="33"/>
        <v>49.484611511200001</v>
      </c>
      <c r="Q40" s="9">
        <f t="shared" si="33"/>
        <v>51.582695007300003</v>
      </c>
      <c r="R40" s="9">
        <f t="shared" si="33"/>
        <v>31.6949615479</v>
      </c>
      <c r="S40" s="9">
        <f t="shared" si="33"/>
        <v>59.352684021000002</v>
      </c>
      <c r="T40" s="9">
        <f t="shared" si="33"/>
        <v>9.0503692627000004E-2</v>
      </c>
      <c r="U40" s="9">
        <f t="shared" si="33"/>
        <v>50.346138000499998</v>
      </c>
      <c r="V40" s="4"/>
    </row>
    <row r="41" spans="1:24" x14ac:dyDescent="0.25">
      <c r="M41" s="62"/>
      <c r="N41" s="12" t="str">
        <f>B10</f>
        <v>Die 7</v>
      </c>
      <c r="O41" s="12" t="str">
        <f t="shared" ref="O41:U41" si="34">C10</f>
        <v>Die 8</v>
      </c>
      <c r="P41" s="12" t="str">
        <f t="shared" si="34"/>
        <v>Die 9</v>
      </c>
      <c r="Q41" s="12" t="str">
        <f t="shared" si="34"/>
        <v>Die 10</v>
      </c>
      <c r="R41" s="12" t="str">
        <f t="shared" si="34"/>
        <v>Die 11</v>
      </c>
      <c r="S41" s="12" t="str">
        <f t="shared" si="34"/>
        <v>Die 12</v>
      </c>
      <c r="T41" s="12" t="str">
        <f t="shared" si="34"/>
        <v>Die 13</v>
      </c>
      <c r="U41" s="12" t="str">
        <f t="shared" si="34"/>
        <v>Die 14</v>
      </c>
      <c r="V41" s="4"/>
    </row>
    <row r="42" spans="1:24" ht="15.75" thickBot="1" x14ac:dyDescent="0.3">
      <c r="M42" s="62"/>
      <c r="N42" s="10">
        <f>N9</f>
        <v>52.816154480000002</v>
      </c>
      <c r="O42" s="10">
        <f t="shared" ref="O42:U42" si="35">O9</f>
        <v>56.010437011699999</v>
      </c>
      <c r="P42" s="10">
        <f t="shared" si="35"/>
        <v>57.682464599600003</v>
      </c>
      <c r="Q42" s="10">
        <f t="shared" si="35"/>
        <v>58.2031478882</v>
      </c>
      <c r="R42" s="10">
        <f t="shared" si="35"/>
        <v>57.726333618200002</v>
      </c>
      <c r="S42" s="10">
        <f t="shared" si="35"/>
        <v>57.680679321299998</v>
      </c>
      <c r="T42" s="10">
        <f t="shared" si="35"/>
        <v>58.382247924799998</v>
      </c>
      <c r="U42" s="10">
        <f t="shared" si="35"/>
        <v>57.333946228000002</v>
      </c>
      <c r="V42" s="4"/>
    </row>
    <row r="43" spans="1:24" x14ac:dyDescent="0.25">
      <c r="M43" s="9">
        <f>M14</f>
        <v>45.096755981400001</v>
      </c>
      <c r="N43" s="9">
        <f t="shared" ref="N43:V43" si="36">N14</f>
        <v>47.605800628700003</v>
      </c>
      <c r="O43" s="9">
        <f t="shared" si="36"/>
        <v>48.805881500200002</v>
      </c>
      <c r="P43" s="9">
        <f t="shared" si="36"/>
        <v>52.3276329041</v>
      </c>
      <c r="Q43" s="9">
        <f t="shared" si="36"/>
        <v>55.0771255493</v>
      </c>
      <c r="R43" s="9">
        <f t="shared" si="36"/>
        <v>58.8519096375</v>
      </c>
      <c r="S43" s="9">
        <f t="shared" si="36"/>
        <v>60.713577270499997</v>
      </c>
      <c r="T43" s="9">
        <f t="shared" si="36"/>
        <v>58.862472534200002</v>
      </c>
      <c r="U43" s="9">
        <f t="shared" si="36"/>
        <v>53.376342773399998</v>
      </c>
      <c r="V43" s="9">
        <f t="shared" si="36"/>
        <v>27.125049591100002</v>
      </c>
      <c r="W43" s="126"/>
      <c r="X43" s="66"/>
    </row>
    <row r="44" spans="1:24" x14ac:dyDescent="0.25">
      <c r="M44" s="12" t="str">
        <f>A13</f>
        <v>Die 15</v>
      </c>
      <c r="N44" s="12" t="str">
        <f t="shared" ref="N44:V44" si="37">B13</f>
        <v>Die 16</v>
      </c>
      <c r="O44" s="12" t="str">
        <f t="shared" si="37"/>
        <v>Die 17</v>
      </c>
      <c r="P44" s="12" t="str">
        <f t="shared" si="37"/>
        <v>Die 18</v>
      </c>
      <c r="Q44" s="12" t="str">
        <f t="shared" si="37"/>
        <v>Die 19</v>
      </c>
      <c r="R44" s="12" t="str">
        <f t="shared" si="37"/>
        <v>Die 20</v>
      </c>
      <c r="S44" s="12" t="str">
        <f t="shared" si="37"/>
        <v>Die 21</v>
      </c>
      <c r="T44" s="12" t="str">
        <f t="shared" si="37"/>
        <v>Die 22</v>
      </c>
      <c r="U44" s="12" t="str">
        <f t="shared" si="37"/>
        <v>Die 23</v>
      </c>
      <c r="V44" s="12" t="str">
        <f t="shared" si="37"/>
        <v>Die 24</v>
      </c>
      <c r="W44" s="127"/>
      <c r="X44" s="66"/>
    </row>
    <row r="45" spans="1:24" ht="15.75" thickBot="1" x14ac:dyDescent="0.3">
      <c r="M45" s="10">
        <f>M12</f>
        <v>51.428676605200003</v>
      </c>
      <c r="N45" s="10">
        <f t="shared" ref="N45:V45" si="38">N12</f>
        <v>55.601547241200002</v>
      </c>
      <c r="O45" s="10">
        <f t="shared" si="38"/>
        <v>57.351375579799999</v>
      </c>
      <c r="P45" s="10">
        <f t="shared" si="38"/>
        <v>56.703353881799998</v>
      </c>
      <c r="Q45" s="10">
        <f t="shared" si="38"/>
        <v>57.401062011699999</v>
      </c>
      <c r="R45" s="10">
        <f t="shared" si="38"/>
        <v>57.098556518599999</v>
      </c>
      <c r="S45" s="10">
        <f t="shared" si="38"/>
        <v>57.751846313500003</v>
      </c>
      <c r="T45" s="10">
        <f t="shared" si="38"/>
        <v>57.665325164800002</v>
      </c>
      <c r="U45" s="10">
        <f t="shared" si="38"/>
        <v>57.620429992699997</v>
      </c>
      <c r="V45" s="10">
        <f t="shared" si="38"/>
        <v>54.333900451700003</v>
      </c>
      <c r="W45" s="127"/>
      <c r="X45" s="66"/>
    </row>
    <row r="46" spans="1:24" ht="15.75" thickBot="1" x14ac:dyDescent="0.3">
      <c r="M46" s="9">
        <f>M17</f>
        <v>46.814632415799998</v>
      </c>
      <c r="N46" s="9">
        <f t="shared" ref="N46:V46" si="39">N17</f>
        <v>49.009277343800001</v>
      </c>
      <c r="O46" s="9">
        <f t="shared" si="39"/>
        <v>52.209045410199998</v>
      </c>
      <c r="P46" s="9">
        <f t="shared" si="39"/>
        <v>55.674816131599997</v>
      </c>
      <c r="Q46" s="9">
        <f t="shared" si="39"/>
        <v>9.3545198440600004</v>
      </c>
      <c r="R46" s="9">
        <f t="shared" si="39"/>
        <v>58.815933227499997</v>
      </c>
      <c r="S46" s="9">
        <f t="shared" si="39"/>
        <v>59.050918579099999</v>
      </c>
      <c r="T46" s="9">
        <f t="shared" si="39"/>
        <v>17.8658256531</v>
      </c>
      <c r="U46" s="9">
        <f t="shared" si="39"/>
        <v>55.184410095200001</v>
      </c>
      <c r="V46" s="9">
        <f t="shared" si="39"/>
        <v>50.332904815699997</v>
      </c>
      <c r="W46" s="127"/>
      <c r="X46" s="66"/>
    </row>
    <row r="47" spans="1:24" x14ac:dyDescent="0.25">
      <c r="M47" s="12" t="str">
        <f>A16</f>
        <v>Die 25</v>
      </c>
      <c r="N47" s="12" t="str">
        <f t="shared" ref="N47:V47" si="40">B16</f>
        <v>Die 26</v>
      </c>
      <c r="O47" s="12" t="str">
        <f t="shared" si="40"/>
        <v>Die 27</v>
      </c>
      <c r="P47" s="12" t="str">
        <f t="shared" si="40"/>
        <v>Die 28</v>
      </c>
      <c r="Q47" s="12" t="str">
        <f t="shared" si="40"/>
        <v>Die 29</v>
      </c>
      <c r="R47" s="12" t="str">
        <f t="shared" si="40"/>
        <v>Die 30</v>
      </c>
      <c r="S47" s="12" t="str">
        <f t="shared" si="40"/>
        <v>Die 31</v>
      </c>
      <c r="T47" s="12" t="str">
        <f t="shared" si="40"/>
        <v>Die 32</v>
      </c>
      <c r="U47" s="12" t="str">
        <f t="shared" si="40"/>
        <v>Die 33</v>
      </c>
      <c r="V47" s="12" t="str">
        <f t="shared" si="40"/>
        <v>Die 34</v>
      </c>
      <c r="W47" s="127"/>
      <c r="X47" s="129"/>
    </row>
    <row r="48" spans="1:24" ht="15.75" thickBot="1" x14ac:dyDescent="0.3">
      <c r="M48" s="10">
        <f>M15</f>
        <v>52.197074890099998</v>
      </c>
      <c r="N48" s="10">
        <f t="shared" ref="N48:V48" si="41">N15</f>
        <v>57.370185852100001</v>
      </c>
      <c r="O48" s="10">
        <f t="shared" si="41"/>
        <v>58.407234191900002</v>
      </c>
      <c r="P48" s="10">
        <f t="shared" si="41"/>
        <v>57.0726165771</v>
      </c>
      <c r="Q48" s="10">
        <f t="shared" si="41"/>
        <v>51.3203125</v>
      </c>
      <c r="R48" s="10">
        <f t="shared" si="41"/>
        <v>33.286643981899999</v>
      </c>
      <c r="S48" s="10">
        <f t="shared" si="41"/>
        <v>56.603790283199999</v>
      </c>
      <c r="T48" s="10">
        <f t="shared" si="41"/>
        <v>10.660672187799999</v>
      </c>
      <c r="U48" s="10">
        <f t="shared" si="41"/>
        <v>56.408645629900001</v>
      </c>
      <c r="V48" s="10">
        <f t="shared" si="41"/>
        <v>52.041267394999998</v>
      </c>
      <c r="W48" s="127"/>
      <c r="X48" s="130"/>
    </row>
    <row r="49" spans="13:24" x14ac:dyDescent="0.25">
      <c r="M49" s="9">
        <f>M20</f>
        <v>47.561336517299999</v>
      </c>
      <c r="N49" s="9">
        <f t="shared" ref="N49:V49" si="42">N20</f>
        <v>50.3304977417</v>
      </c>
      <c r="O49" s="9">
        <f t="shared" si="42"/>
        <v>55.214500427200001</v>
      </c>
      <c r="P49" s="9">
        <f t="shared" si="42"/>
        <v>56.607318878199997</v>
      </c>
      <c r="Q49" s="9">
        <f t="shared" si="42"/>
        <v>56.132362365699997</v>
      </c>
      <c r="R49" s="9">
        <f t="shared" si="42"/>
        <v>57.171558380100002</v>
      </c>
      <c r="S49" s="9">
        <f t="shared" si="42"/>
        <v>58.3974838257</v>
      </c>
      <c r="T49" s="9">
        <f t="shared" si="42"/>
        <v>17.504644393900001</v>
      </c>
      <c r="U49" s="9">
        <f t="shared" si="42"/>
        <v>57.952190399199999</v>
      </c>
      <c r="V49" s="9">
        <f t="shared" si="42"/>
        <v>52.292297363300001</v>
      </c>
      <c r="W49" s="127"/>
      <c r="X49" s="130"/>
    </row>
    <row r="50" spans="13:24" x14ac:dyDescent="0.25">
      <c r="M50" s="12" t="str">
        <f>A19</f>
        <v>Die 35</v>
      </c>
      <c r="N50" s="12" t="str">
        <f t="shared" ref="N50:V50" si="43">B19</f>
        <v>Die 36</v>
      </c>
      <c r="O50" s="12" t="str">
        <f t="shared" si="43"/>
        <v>Die 37</v>
      </c>
      <c r="P50" s="12" t="str">
        <f t="shared" si="43"/>
        <v>Die 38</v>
      </c>
      <c r="Q50" s="12" t="str">
        <f t="shared" si="43"/>
        <v>Die 39</v>
      </c>
      <c r="R50" s="12" t="str">
        <f t="shared" si="43"/>
        <v>Die 40</v>
      </c>
      <c r="S50" s="12" t="str">
        <f t="shared" si="43"/>
        <v>Die 41</v>
      </c>
      <c r="T50" s="12" t="str">
        <f t="shared" si="43"/>
        <v>Die 42</v>
      </c>
      <c r="U50" s="12" t="str">
        <f t="shared" si="43"/>
        <v>Die 43</v>
      </c>
      <c r="V50" s="12" t="str">
        <f t="shared" si="43"/>
        <v>Die 44</v>
      </c>
      <c r="W50" s="127"/>
      <c r="X50" s="130"/>
    </row>
    <row r="51" spans="13:24" ht="15.75" thickBot="1" x14ac:dyDescent="0.3">
      <c r="M51" s="67">
        <f>M18</f>
        <v>52.6460876465</v>
      </c>
      <c r="N51" s="67">
        <f t="shared" ref="N51:V51" si="44">N18</f>
        <v>58.4632415771</v>
      </c>
      <c r="O51" s="67">
        <f t="shared" si="44"/>
        <v>58.1044197083</v>
      </c>
      <c r="P51" s="67">
        <f t="shared" si="44"/>
        <v>57.010387420699999</v>
      </c>
      <c r="Q51" s="67">
        <f t="shared" si="44"/>
        <v>55.4432868958</v>
      </c>
      <c r="R51" s="67">
        <f t="shared" si="44"/>
        <v>49.864696502699999</v>
      </c>
      <c r="S51" s="67">
        <f t="shared" si="44"/>
        <v>56.140754699699997</v>
      </c>
      <c r="T51" s="67">
        <f t="shared" si="44"/>
        <v>56.457805633500001</v>
      </c>
      <c r="U51" s="67">
        <f t="shared" si="44"/>
        <v>53.447723388699998</v>
      </c>
      <c r="V51" s="67">
        <f t="shared" si="44"/>
        <v>49.686622619600001</v>
      </c>
      <c r="W51" s="127"/>
      <c r="X51" s="130"/>
    </row>
    <row r="52" spans="13:24" x14ac:dyDescent="0.25">
      <c r="M52" s="11">
        <f>M23</f>
        <v>49.248527526899998</v>
      </c>
      <c r="N52" s="11">
        <f t="shared" ref="N52:V52" si="45">N23</f>
        <v>52.818466186499997</v>
      </c>
      <c r="O52" s="11">
        <f t="shared" si="45"/>
        <v>56.780887603799997</v>
      </c>
      <c r="P52" s="11">
        <f t="shared" si="45"/>
        <v>55.569911956799999</v>
      </c>
      <c r="Q52" s="11">
        <f t="shared" si="45"/>
        <v>56.151081085199998</v>
      </c>
      <c r="R52" s="11">
        <f t="shared" si="45"/>
        <v>9.59634780884E-2</v>
      </c>
      <c r="S52" s="11">
        <f t="shared" si="45"/>
        <v>57.471130371100003</v>
      </c>
      <c r="T52" s="11">
        <f t="shared" si="45"/>
        <v>58.746505737299998</v>
      </c>
      <c r="U52" s="11">
        <f t="shared" si="45"/>
        <v>59.026432037399999</v>
      </c>
      <c r="V52" s="11">
        <f t="shared" si="45"/>
        <v>53.209949493400003</v>
      </c>
      <c r="W52" s="127"/>
      <c r="X52" s="130"/>
    </row>
    <row r="53" spans="13:24" x14ac:dyDescent="0.25">
      <c r="M53" s="12" t="str">
        <f>A22</f>
        <v>Die 45</v>
      </c>
      <c r="N53" s="12" t="str">
        <f t="shared" ref="N53:V53" si="46">B22</f>
        <v>Die 46</v>
      </c>
      <c r="O53" s="12" t="str">
        <f t="shared" si="46"/>
        <v>Die 47</v>
      </c>
      <c r="P53" s="12" t="str">
        <f t="shared" si="46"/>
        <v>Die 48</v>
      </c>
      <c r="Q53" s="12" t="str">
        <f t="shared" si="46"/>
        <v>Die 49</v>
      </c>
      <c r="R53" s="12" t="str">
        <f t="shared" si="46"/>
        <v>Die 50</v>
      </c>
      <c r="S53" s="12" t="str">
        <f t="shared" si="46"/>
        <v>Die 51</v>
      </c>
      <c r="T53" s="12" t="str">
        <f t="shared" si="46"/>
        <v>Die 52</v>
      </c>
      <c r="U53" s="12" t="str">
        <f t="shared" si="46"/>
        <v>Die 53</v>
      </c>
      <c r="V53" s="12" t="str">
        <f t="shared" si="46"/>
        <v>Die 54</v>
      </c>
      <c r="W53" s="127"/>
      <c r="X53" s="130"/>
    </row>
    <row r="54" spans="13:24" ht="15.75" thickBot="1" x14ac:dyDescent="0.3">
      <c r="M54" s="10">
        <f>M21</f>
        <v>51.451538085899998</v>
      </c>
      <c r="N54" s="10">
        <f t="shared" ref="N54:V54" si="47">N21</f>
        <v>57.204795837399999</v>
      </c>
      <c r="O54" s="10">
        <f t="shared" si="47"/>
        <v>58.412624359100001</v>
      </c>
      <c r="P54" s="10">
        <f t="shared" si="47"/>
        <v>57.644104003899997</v>
      </c>
      <c r="Q54" s="10">
        <f t="shared" si="47"/>
        <v>56.287693023700001</v>
      </c>
      <c r="R54" s="10">
        <f t="shared" si="47"/>
        <v>45.966934204099999</v>
      </c>
      <c r="S54" s="10">
        <f t="shared" si="47"/>
        <v>55.739402771000002</v>
      </c>
      <c r="T54" s="10">
        <f t="shared" si="47"/>
        <v>55.354927062999998</v>
      </c>
      <c r="U54" s="10">
        <f t="shared" si="47"/>
        <v>51.029014587399999</v>
      </c>
      <c r="V54" s="10">
        <f t="shared" si="47"/>
        <v>48.209072112999998</v>
      </c>
      <c r="W54" s="127"/>
      <c r="X54" s="130"/>
    </row>
    <row r="55" spans="13:24" x14ac:dyDescent="0.25">
      <c r="M55" s="9">
        <f>M26</f>
        <v>51.2733917236</v>
      </c>
      <c r="N55" s="9">
        <f t="shared" ref="N55:V55" si="48">N26</f>
        <v>56.2555084229</v>
      </c>
      <c r="O55" s="9">
        <f t="shared" si="48"/>
        <v>3.6787033081099998</v>
      </c>
      <c r="P55" s="9">
        <f t="shared" si="48"/>
        <v>57.0216674805</v>
      </c>
      <c r="Q55" s="9">
        <f t="shared" si="48"/>
        <v>56.011318206799999</v>
      </c>
      <c r="R55" s="9">
        <f t="shared" si="48"/>
        <v>56.116889953600001</v>
      </c>
      <c r="S55" s="9">
        <f t="shared" si="48"/>
        <v>57.320499420200001</v>
      </c>
      <c r="T55" s="9">
        <f t="shared" si="48"/>
        <v>58.812950134300003</v>
      </c>
      <c r="U55" s="9">
        <f t="shared" si="48"/>
        <v>58.839775085399999</v>
      </c>
      <c r="V55" s="9">
        <f t="shared" si="48"/>
        <v>53.586982727100001</v>
      </c>
      <c r="W55" s="127"/>
      <c r="X55" s="130"/>
    </row>
    <row r="56" spans="13:24" ht="15.75" thickBot="1" x14ac:dyDescent="0.3">
      <c r="M56" s="12" t="str">
        <f>A25</f>
        <v>Die 55</v>
      </c>
      <c r="N56" s="12" t="str">
        <f t="shared" ref="N56:V56" si="49">B25</f>
        <v>Die 56</v>
      </c>
      <c r="O56" s="12" t="str">
        <f t="shared" si="49"/>
        <v>Die 57</v>
      </c>
      <c r="P56" s="12" t="str">
        <f t="shared" si="49"/>
        <v>Die 58</v>
      </c>
      <c r="Q56" s="12" t="str">
        <f t="shared" si="49"/>
        <v>Die 59</v>
      </c>
      <c r="R56" s="12" t="str">
        <f t="shared" si="49"/>
        <v>Die 60</v>
      </c>
      <c r="S56" s="12" t="str">
        <f t="shared" si="49"/>
        <v>Die 61</v>
      </c>
      <c r="T56" s="12" t="str">
        <f t="shared" si="49"/>
        <v>Die 62</v>
      </c>
      <c r="U56" s="12" t="str">
        <f t="shared" si="49"/>
        <v>Die 63</v>
      </c>
      <c r="V56" s="12" t="str">
        <f t="shared" si="49"/>
        <v>Die 64</v>
      </c>
      <c r="W56" s="127"/>
      <c r="X56" s="131"/>
    </row>
    <row r="57" spans="13:24" ht="15.75" thickBot="1" x14ac:dyDescent="0.3">
      <c r="M57" s="10">
        <f>M24</f>
        <v>49.661231994600001</v>
      </c>
      <c r="N57" s="10">
        <f t="shared" ref="N57:V57" si="50">N24</f>
        <v>54.556228637700002</v>
      </c>
      <c r="O57" s="10">
        <f t="shared" si="50"/>
        <v>0.35614967346199999</v>
      </c>
      <c r="P57" s="10">
        <f t="shared" si="50"/>
        <v>58.547569274899999</v>
      </c>
      <c r="Q57" s="10">
        <f t="shared" si="50"/>
        <v>58.231090545699999</v>
      </c>
      <c r="R57" s="10">
        <f t="shared" si="50"/>
        <v>7.2160720825200002</v>
      </c>
      <c r="S57" s="10">
        <f t="shared" si="50"/>
        <v>0.51712989807099996</v>
      </c>
      <c r="T57" s="10">
        <f t="shared" si="50"/>
        <v>51.566291809100001</v>
      </c>
      <c r="U57" s="10">
        <f t="shared" si="50"/>
        <v>48.962997436499997</v>
      </c>
      <c r="V57" s="10">
        <f t="shared" si="50"/>
        <v>47.819519043</v>
      </c>
      <c r="W57" s="127"/>
      <c r="X57" s="66"/>
    </row>
    <row r="58" spans="13:24" x14ac:dyDescent="0.25">
      <c r="M58" s="9">
        <f>M29</f>
        <v>51.867771148700001</v>
      </c>
      <c r="N58" s="9">
        <f t="shared" ref="N58:V58" si="51">N29</f>
        <v>57.570480346700002</v>
      </c>
      <c r="O58" s="9">
        <f t="shared" si="51"/>
        <v>57.074691772500003</v>
      </c>
      <c r="P58" s="9">
        <f t="shared" si="51"/>
        <v>57.8838348389</v>
      </c>
      <c r="Q58" s="9">
        <f t="shared" si="51"/>
        <v>57.862972259499998</v>
      </c>
      <c r="R58" s="9">
        <f t="shared" si="51"/>
        <v>57.956741332999997</v>
      </c>
      <c r="S58" s="9">
        <f t="shared" si="51"/>
        <v>55.610298156699997</v>
      </c>
      <c r="T58" s="9">
        <f t="shared" si="51"/>
        <v>58.818649292000003</v>
      </c>
      <c r="U58" s="9">
        <f t="shared" si="51"/>
        <v>57.769489288300001</v>
      </c>
      <c r="V58" s="9">
        <f t="shared" si="51"/>
        <v>1.2235403060900001</v>
      </c>
      <c r="W58" s="127"/>
      <c r="X58" s="66"/>
    </row>
    <row r="59" spans="13:24" x14ac:dyDescent="0.25">
      <c r="M59" s="12" t="str">
        <f>A28</f>
        <v>Die 65</v>
      </c>
      <c r="N59" s="12" t="str">
        <f t="shared" ref="N59:V59" si="52">B28</f>
        <v>Die 66</v>
      </c>
      <c r="O59" s="12" t="str">
        <f t="shared" si="52"/>
        <v>Die 67</v>
      </c>
      <c r="P59" s="12" t="str">
        <f t="shared" si="52"/>
        <v>Die 68</v>
      </c>
      <c r="Q59" s="12" t="str">
        <f t="shared" si="52"/>
        <v>Die 69</v>
      </c>
      <c r="R59" s="12" t="str">
        <f t="shared" si="52"/>
        <v>Die 70</v>
      </c>
      <c r="S59" s="12" t="str">
        <f t="shared" si="52"/>
        <v>Die 71</v>
      </c>
      <c r="T59" s="12" t="str">
        <f t="shared" si="52"/>
        <v>Die 72</v>
      </c>
      <c r="U59" s="12" t="str">
        <f t="shared" si="52"/>
        <v>Die 73</v>
      </c>
      <c r="V59" s="12" t="str">
        <f t="shared" si="52"/>
        <v>Die 74</v>
      </c>
      <c r="W59" s="127"/>
      <c r="X59" s="66"/>
    </row>
    <row r="60" spans="13:24" ht="15.75" thickBot="1" x14ac:dyDescent="0.3">
      <c r="M60" s="10">
        <f>M27</f>
        <v>41.148803710899998</v>
      </c>
      <c r="N60" s="10">
        <f t="shared" ref="N60:V60" si="53">N27</f>
        <v>52.754116058299999</v>
      </c>
      <c r="O60" s="10">
        <f t="shared" si="53"/>
        <v>58.244895935099997</v>
      </c>
      <c r="P60" s="10">
        <f t="shared" si="53"/>
        <v>58.948753356899999</v>
      </c>
      <c r="Q60" s="10">
        <f t="shared" si="53"/>
        <v>45.977806091300003</v>
      </c>
      <c r="R60" s="10">
        <f t="shared" si="53"/>
        <v>55.478263855000002</v>
      </c>
      <c r="S60" s="10">
        <f t="shared" si="53"/>
        <v>52.4308700562</v>
      </c>
      <c r="T60" s="10">
        <f t="shared" si="53"/>
        <v>49.480606079099999</v>
      </c>
      <c r="U60" s="10">
        <f t="shared" si="53"/>
        <v>48.024772644000002</v>
      </c>
      <c r="V60" s="10">
        <f t="shared" si="53"/>
        <v>46.378944396999998</v>
      </c>
      <c r="W60" s="128"/>
      <c r="X60" s="66"/>
    </row>
    <row r="61" spans="13:24" x14ac:dyDescent="0.25">
      <c r="M61" s="4"/>
      <c r="N61" s="9">
        <f>N32</f>
        <v>15.554428100599999</v>
      </c>
      <c r="O61" s="9">
        <f t="shared" ref="O61:U61" si="54">O32</f>
        <v>57.912635803199997</v>
      </c>
      <c r="P61" s="9">
        <f t="shared" si="54"/>
        <v>58.839298248299997</v>
      </c>
      <c r="Q61" s="9">
        <f t="shared" si="54"/>
        <v>8.7308883667000001E-2</v>
      </c>
      <c r="R61" s="9">
        <f t="shared" si="54"/>
        <v>58.830619812000002</v>
      </c>
      <c r="S61" s="9">
        <f t="shared" si="54"/>
        <v>58.776927948000001</v>
      </c>
      <c r="T61" s="9">
        <f t="shared" si="54"/>
        <v>57.9579849243</v>
      </c>
      <c r="U61" s="9">
        <f t="shared" si="54"/>
        <v>52.9849777222</v>
      </c>
      <c r="V61" s="62"/>
    </row>
    <row r="62" spans="13:24" x14ac:dyDescent="0.25">
      <c r="M62" s="4"/>
      <c r="N62" s="12" t="str">
        <f>B31</f>
        <v>Die 75</v>
      </c>
      <c r="O62" s="12" t="str">
        <f t="shared" ref="O62:U62" si="55">C31</f>
        <v>Die 76</v>
      </c>
      <c r="P62" s="12" t="str">
        <f t="shared" si="55"/>
        <v>Die 77</v>
      </c>
      <c r="Q62" s="12" t="str">
        <f t="shared" si="55"/>
        <v>Die 78</v>
      </c>
      <c r="R62" s="12" t="str">
        <f t="shared" si="55"/>
        <v>Die 79</v>
      </c>
      <c r="S62" s="12" t="str">
        <f t="shared" si="55"/>
        <v>Die 80</v>
      </c>
      <c r="T62" s="12" t="str">
        <f t="shared" si="55"/>
        <v>Die 81</v>
      </c>
      <c r="U62" s="12" t="str">
        <f t="shared" si="55"/>
        <v>Die 82</v>
      </c>
      <c r="V62" s="62"/>
    </row>
    <row r="63" spans="13:24" ht="15.75" thickBot="1" x14ac:dyDescent="0.3">
      <c r="M63" s="4"/>
      <c r="N63" s="10">
        <f>N30</f>
        <v>50.343776702900001</v>
      </c>
      <c r="O63" s="10">
        <f t="shared" ref="O63:U63" si="56">O30</f>
        <v>55.379199981699998</v>
      </c>
      <c r="P63" s="10">
        <f t="shared" si="56"/>
        <v>59.4585647583</v>
      </c>
      <c r="Q63" s="10">
        <f t="shared" si="56"/>
        <v>56.421447753899997</v>
      </c>
      <c r="R63" s="10">
        <f t="shared" si="56"/>
        <v>51.589870452900001</v>
      </c>
      <c r="S63" s="10">
        <f t="shared" si="56"/>
        <v>49.080513000499998</v>
      </c>
      <c r="T63" s="10">
        <f t="shared" si="56"/>
        <v>47.641086578399999</v>
      </c>
      <c r="U63" s="10">
        <f t="shared" si="56"/>
        <v>42.337535858199999</v>
      </c>
      <c r="V63" s="62"/>
    </row>
    <row r="64" spans="13:24" x14ac:dyDescent="0.25">
      <c r="M64" s="4"/>
      <c r="N64" s="4"/>
      <c r="O64" s="9">
        <f>O35</f>
        <v>54.357170105000002</v>
      </c>
      <c r="P64" s="9">
        <f t="shared" ref="P64:T64" si="57">P35</f>
        <v>3.66451740265</v>
      </c>
      <c r="Q64" s="9">
        <f t="shared" si="57"/>
        <v>58.037544250499998</v>
      </c>
      <c r="R64" s="9">
        <f t="shared" si="57"/>
        <v>57.633735656699997</v>
      </c>
      <c r="S64" s="9">
        <f t="shared" si="57"/>
        <v>56.185485839800002</v>
      </c>
      <c r="T64" s="9">
        <f t="shared" si="57"/>
        <v>52.332210540799998</v>
      </c>
      <c r="U64" s="62"/>
      <c r="V64" s="62"/>
    </row>
    <row r="65" spans="13:22" x14ac:dyDescent="0.25">
      <c r="M65" s="4"/>
      <c r="N65" s="4"/>
      <c r="O65" s="12" t="str">
        <f>C34</f>
        <v>Die 83</v>
      </c>
      <c r="P65" s="12" t="str">
        <f t="shared" ref="P65:T65" si="58">D34</f>
        <v>Die 84</v>
      </c>
      <c r="Q65" s="12" t="str">
        <f t="shared" si="58"/>
        <v>Die 85</v>
      </c>
      <c r="R65" s="12" t="str">
        <f t="shared" si="58"/>
        <v>Die 86</v>
      </c>
      <c r="S65" s="12" t="str">
        <f t="shared" si="58"/>
        <v>Die 87</v>
      </c>
      <c r="T65" s="12" t="str">
        <f t="shared" si="58"/>
        <v>Die 88</v>
      </c>
      <c r="U65" s="62"/>
      <c r="V65" s="62"/>
    </row>
    <row r="66" spans="13:22" ht="15.75" thickBot="1" x14ac:dyDescent="0.3">
      <c r="M66" s="4"/>
      <c r="N66" s="4"/>
      <c r="O66" s="10">
        <f>O33</f>
        <v>20.487903594999999</v>
      </c>
      <c r="P66" s="10">
        <f t="shared" ref="P66:T66" si="59">P33</f>
        <v>53.5599212646</v>
      </c>
      <c r="Q66" s="10">
        <f t="shared" si="59"/>
        <v>52.9107589722</v>
      </c>
      <c r="R66" s="10">
        <f t="shared" si="59"/>
        <v>50.538589477499997</v>
      </c>
      <c r="S66" s="10">
        <f t="shared" si="59"/>
        <v>48.886871337899997</v>
      </c>
      <c r="T66" s="10">
        <f t="shared" si="59"/>
        <v>23.578500747700001</v>
      </c>
      <c r="U66" s="62"/>
      <c r="V66" s="62"/>
    </row>
    <row r="125" spans="13:14" x14ac:dyDescent="0.25">
      <c r="M125" s="5" t="s">
        <v>88</v>
      </c>
      <c r="N125" s="5" t="s">
        <v>88</v>
      </c>
    </row>
    <row r="126" spans="13:14" x14ac:dyDescent="0.25">
      <c r="M126" s="5" t="s">
        <v>88</v>
      </c>
      <c r="N126" s="5" t="s">
        <v>88</v>
      </c>
    </row>
  </sheetData>
  <mergeCells count="6">
    <mergeCell ref="C36:H38"/>
    <mergeCell ref="K12:K29"/>
    <mergeCell ref="W12:W29"/>
    <mergeCell ref="X16:X25"/>
    <mergeCell ref="W43:W60"/>
    <mergeCell ref="X47:X56"/>
  </mergeCells>
  <phoneticPr fontId="1" type="noConversion"/>
  <conditionalFormatting sqref="A6:J35">
    <cfRule type="cellIs" dxfId="9" priority="4" operator="notBetween">
      <formula>33</formula>
      <formula>85</formula>
    </cfRule>
  </conditionalFormatting>
  <conditionalFormatting sqref="M6:V35">
    <cfRule type="cellIs" dxfId="8" priority="3" operator="equal">
      <formula>0</formula>
    </cfRule>
  </conditionalFormatting>
  <conditionalFormatting sqref="M37:V66">
    <cfRule type="cellIs" dxfId="7" priority="2" operator="equal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OrEqual" id="{1B4334B6-E3E1-48E9-9490-B684479A7B8B}">
            <xm:f>Combining!$M$34</xm:f>
            <x14:dxf>
              <font>
                <color rgb="FFFF0000"/>
              </font>
            </x14:dxf>
          </x14:cfRule>
          <xm:sqref>C6:H6 C8:H8 B9:I9 B11:I11 A12:J12 A14:J15 A17:J18 A20:J21 A23:J24 A26:J27 A29:J29 B30:I30 B32:I32 C33:H33 C35:H35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5BACA-D0BD-4CD5-B01C-78AFEF7DE588}">
  <sheetPr codeName="Sheet2"/>
  <dimension ref="A1:AH92"/>
  <sheetViews>
    <sheetView zoomScale="60" zoomScaleNormal="60" workbookViewId="0">
      <selection activeCell="B3" sqref="B3:C90"/>
    </sheetView>
  </sheetViews>
  <sheetFormatPr defaultRowHeight="15" x14ac:dyDescent="0.25"/>
  <cols>
    <col min="9" max="9" width="11" hidden="1" customWidth="1"/>
    <col min="13" max="13" width="8.85546875" customWidth="1"/>
    <col min="16" max="16" width="8.85546875" customWidth="1"/>
    <col min="27" max="34" width="0" style="122" hidden="1" customWidth="1"/>
  </cols>
  <sheetData>
    <row r="1" spans="1:34" s="13" customFormat="1" ht="30" customHeight="1" x14ac:dyDescent="0.25">
      <c r="A1" s="19" t="s">
        <v>89</v>
      </c>
      <c r="B1" s="23" t="s">
        <v>90</v>
      </c>
      <c r="C1" s="20" t="s">
        <v>91</v>
      </c>
      <c r="E1" s="57">
        <v>90</v>
      </c>
      <c r="F1" s="132" t="s">
        <v>184</v>
      </c>
      <c r="G1" s="133"/>
      <c r="M1" s="136" t="s">
        <v>198</v>
      </c>
      <c r="N1" s="136"/>
      <c r="O1" s="89" t="s">
        <v>197</v>
      </c>
      <c r="P1" s="136" t="s">
        <v>192</v>
      </c>
      <c r="Q1" s="136"/>
      <c r="R1" s="89" t="s">
        <v>197</v>
      </c>
      <c r="S1" s="136" t="s">
        <v>193</v>
      </c>
      <c r="T1" s="136"/>
      <c r="U1" s="89" t="s">
        <v>197</v>
      </c>
      <c r="V1" s="136" t="s">
        <v>194</v>
      </c>
      <c r="W1" s="136"/>
      <c r="AA1" s="121"/>
      <c r="AB1" s="121"/>
      <c r="AC1" s="121"/>
      <c r="AD1" s="121"/>
      <c r="AE1" s="121"/>
      <c r="AF1" s="121"/>
      <c r="AG1" s="121"/>
      <c r="AH1" s="121"/>
    </row>
    <row r="2" spans="1:34" s="13" customFormat="1" ht="30" customHeight="1" x14ac:dyDescent="0.25">
      <c r="A2" s="21"/>
      <c r="B2" s="24"/>
      <c r="C2" s="22"/>
      <c r="I2" s="13" t="s">
        <v>185</v>
      </c>
      <c r="M2" s="134" t="s">
        <v>186</v>
      </c>
      <c r="N2" s="135"/>
      <c r="O2" s="80" t="s">
        <v>190</v>
      </c>
      <c r="P2" s="134" t="s">
        <v>187</v>
      </c>
      <c r="Q2" s="135"/>
      <c r="R2" s="80" t="str">
        <f>O2</f>
        <v>&lt;----&gt;</v>
      </c>
      <c r="S2" s="134" t="s">
        <v>188</v>
      </c>
      <c r="T2" s="135"/>
      <c r="U2" s="80" t="str">
        <f>O2</f>
        <v>&lt;----&gt;</v>
      </c>
      <c r="V2" s="134" t="s">
        <v>189</v>
      </c>
      <c r="W2" s="135"/>
      <c r="Y2" s="121" t="s">
        <v>199</v>
      </c>
      <c r="Z2" s="121" t="s">
        <v>200</v>
      </c>
      <c r="AA2" s="121" t="s">
        <v>199</v>
      </c>
      <c r="AB2" s="121" t="s">
        <v>200</v>
      </c>
      <c r="AC2" s="121" t="s">
        <v>199</v>
      </c>
      <c r="AD2" s="121" t="s">
        <v>200</v>
      </c>
      <c r="AE2" s="121" t="s">
        <v>199</v>
      </c>
      <c r="AF2" s="121" t="s">
        <v>200</v>
      </c>
      <c r="AG2" s="121" t="s">
        <v>199</v>
      </c>
      <c r="AH2" s="121" t="s">
        <v>200</v>
      </c>
    </row>
    <row r="3" spans="1:34" x14ac:dyDescent="0.25">
      <c r="A3" t="s">
        <v>0</v>
      </c>
      <c r="B3">
        <v>20.487903594999999</v>
      </c>
      <c r="C3">
        <v>33.266685485799997</v>
      </c>
      <c r="I3" s="5"/>
      <c r="M3">
        <v>4.0528059005700001</v>
      </c>
      <c r="N3">
        <v>0.33450126647900003</v>
      </c>
      <c r="O3" s="79"/>
      <c r="P3">
        <v>3.9953231811499998</v>
      </c>
      <c r="Q3">
        <v>0.38880181312599998</v>
      </c>
      <c r="R3" s="79"/>
      <c r="S3">
        <v>3.3581972122199999</v>
      </c>
      <c r="T3">
        <v>45.2375183105</v>
      </c>
      <c r="U3" s="79"/>
      <c r="V3">
        <v>2.5241136550899999</v>
      </c>
      <c r="W3">
        <v>67.382598877000007</v>
      </c>
      <c r="Y3" s="79">
        <f>COUNTIF(AA3:AD3,_xlfn.MODE.SNGL(AA3,AB3,AC3,AD3))</f>
        <v>2</v>
      </c>
      <c r="Z3" s="79">
        <f>COUNTIF(AE3:AH3,_xlfn.MODE.SNGL(AE3,AF3,AG3,AH3))</f>
        <v>0</v>
      </c>
      <c r="AA3" s="122">
        <f>QUOTIENT(M3,1)</f>
        <v>4</v>
      </c>
      <c r="AB3" s="122">
        <f>QUOTIENT(N3,1)</f>
        <v>0</v>
      </c>
      <c r="AC3" s="122">
        <f>QUOTIENT(P3,1)</f>
        <v>3</v>
      </c>
      <c r="AD3" s="122">
        <f>QUOTIENT(Q3,1)</f>
        <v>0</v>
      </c>
      <c r="AE3" s="122">
        <f>QUOTIENT(S3,1)</f>
        <v>3</v>
      </c>
      <c r="AF3" s="122">
        <f>QUOTIENT(T3,1)</f>
        <v>45</v>
      </c>
      <c r="AG3" s="122">
        <f>QUOTIENT(V3,1)</f>
        <v>2</v>
      </c>
      <c r="AH3" s="122">
        <f>QUOTIENT(W3,1)</f>
        <v>67</v>
      </c>
    </row>
    <row r="4" spans="1:34" x14ac:dyDescent="0.25">
      <c r="A4" t="s">
        <v>1</v>
      </c>
      <c r="B4">
        <v>53.5599212646</v>
      </c>
      <c r="C4">
        <v>47.286750793499998</v>
      </c>
      <c r="I4" s="5"/>
      <c r="M4">
        <v>47.337604522699998</v>
      </c>
      <c r="N4">
        <v>-5.0806999206500003E-2</v>
      </c>
      <c r="O4" s="79"/>
      <c r="P4">
        <v>47.2984542847</v>
      </c>
      <c r="Q4">
        <v>-5.2700605010599997E-4</v>
      </c>
      <c r="R4" s="79"/>
      <c r="S4">
        <v>47.249366760299999</v>
      </c>
      <c r="T4">
        <v>-4.1317939758299997E-2</v>
      </c>
      <c r="U4" s="79"/>
      <c r="V4">
        <v>47.274444580100003</v>
      </c>
      <c r="W4">
        <v>1.23023986816E-2</v>
      </c>
      <c r="Y4" s="79">
        <f t="shared" ref="Y4:Y67" si="0">COUNTIF(AA4:AD4,_xlfn.MODE.SNGL(AA4,AB4,AC4,AD4))</f>
        <v>2</v>
      </c>
      <c r="Z4" s="79">
        <f t="shared" ref="Z4:Z67" si="1">COUNTIF(AE4:AH4,_xlfn.MODE.SNGL(AE4,AF4,AG4,AH4))</f>
        <v>2</v>
      </c>
      <c r="AA4" s="122">
        <f t="shared" ref="AA4:AA67" si="2">QUOTIENT(M4,1)</f>
        <v>47</v>
      </c>
      <c r="AB4" s="122">
        <f t="shared" ref="AB4:AB67" si="3">QUOTIENT(N4,1)</f>
        <v>0</v>
      </c>
      <c r="AC4" s="122">
        <f t="shared" ref="AC4:AC67" si="4">QUOTIENT(P4,1)</f>
        <v>47</v>
      </c>
      <c r="AD4" s="122">
        <f t="shared" ref="AD4:AD67" si="5">QUOTIENT(Q4,1)</f>
        <v>0</v>
      </c>
      <c r="AE4" s="122">
        <f t="shared" ref="AE4:AE67" si="6">QUOTIENT(S4,1)</f>
        <v>47</v>
      </c>
      <c r="AF4" s="122">
        <f t="shared" ref="AF4:AF67" si="7">QUOTIENT(T4,1)</f>
        <v>0</v>
      </c>
      <c r="AG4" s="122">
        <f t="shared" ref="AG4:AG67" si="8">QUOTIENT(V4,1)</f>
        <v>47</v>
      </c>
      <c r="AH4" s="122">
        <f t="shared" ref="AH4:AH67" si="9">QUOTIENT(W4,1)</f>
        <v>0</v>
      </c>
    </row>
    <row r="5" spans="1:34" x14ac:dyDescent="0.25">
      <c r="A5" t="s">
        <v>2</v>
      </c>
      <c r="B5">
        <v>52.9107589722</v>
      </c>
      <c r="C5">
        <v>48.572181701700003</v>
      </c>
      <c r="I5" s="5"/>
      <c r="M5">
        <v>-4.3869018554699997E-2</v>
      </c>
      <c r="N5">
        <v>0.36203861236599999</v>
      </c>
      <c r="O5" s="79"/>
      <c r="P5">
        <v>-4.0984153747599998E-2</v>
      </c>
      <c r="Q5">
        <v>0.41449677944199997</v>
      </c>
      <c r="R5" s="79"/>
      <c r="S5">
        <v>-3.7264823913599997E-2</v>
      </c>
      <c r="T5">
        <v>48.531486511200001</v>
      </c>
      <c r="U5" s="79"/>
      <c r="V5">
        <v>1.22785568237E-2</v>
      </c>
      <c r="W5">
        <v>48.523376464800002</v>
      </c>
      <c r="Y5" s="79">
        <f t="shared" si="0"/>
        <v>4</v>
      </c>
      <c r="Z5" s="79">
        <f t="shared" si="1"/>
        <v>2</v>
      </c>
      <c r="AA5" s="122">
        <f t="shared" si="2"/>
        <v>0</v>
      </c>
      <c r="AB5" s="122">
        <f t="shared" si="3"/>
        <v>0</v>
      </c>
      <c r="AC5" s="122">
        <f t="shared" si="4"/>
        <v>0</v>
      </c>
      <c r="AD5" s="122">
        <f t="shared" si="5"/>
        <v>0</v>
      </c>
      <c r="AE5" s="122">
        <f t="shared" si="6"/>
        <v>0</v>
      </c>
      <c r="AF5" s="122">
        <f t="shared" si="7"/>
        <v>48</v>
      </c>
      <c r="AG5" s="122">
        <f t="shared" si="8"/>
        <v>0</v>
      </c>
      <c r="AH5" s="122">
        <f t="shared" si="9"/>
        <v>48</v>
      </c>
    </row>
    <row r="6" spans="1:34" x14ac:dyDescent="0.25">
      <c r="A6" t="s">
        <v>3</v>
      </c>
      <c r="B6">
        <v>50.538589477499997</v>
      </c>
      <c r="C6">
        <v>51.243614196800003</v>
      </c>
      <c r="I6" s="5"/>
      <c r="M6">
        <v>7.3251724243199998</v>
      </c>
      <c r="N6">
        <v>0.39350986480700001</v>
      </c>
      <c r="O6" s="79"/>
      <c r="P6">
        <v>7.3320388793899998</v>
      </c>
      <c r="Q6">
        <v>0.44771334528899998</v>
      </c>
      <c r="R6" s="79"/>
      <c r="S6">
        <v>7.3434114456200001</v>
      </c>
      <c r="T6">
        <v>51.010036468499997</v>
      </c>
      <c r="U6" s="79"/>
      <c r="V6">
        <v>1.9860267639199999E-2</v>
      </c>
      <c r="W6">
        <v>51.000595092799998</v>
      </c>
      <c r="Y6" s="79">
        <f t="shared" si="0"/>
        <v>2</v>
      </c>
      <c r="Z6" s="79">
        <f t="shared" si="1"/>
        <v>2</v>
      </c>
      <c r="AA6" s="122">
        <f t="shared" si="2"/>
        <v>7</v>
      </c>
      <c r="AB6" s="122">
        <f t="shared" si="3"/>
        <v>0</v>
      </c>
      <c r="AC6" s="122">
        <f t="shared" si="4"/>
        <v>7</v>
      </c>
      <c r="AD6" s="122">
        <f t="shared" si="5"/>
        <v>0</v>
      </c>
      <c r="AE6" s="122">
        <f t="shared" si="6"/>
        <v>7</v>
      </c>
      <c r="AF6" s="122">
        <f t="shared" si="7"/>
        <v>51</v>
      </c>
      <c r="AG6" s="122">
        <f t="shared" si="8"/>
        <v>0</v>
      </c>
      <c r="AH6" s="122">
        <f t="shared" si="9"/>
        <v>51</v>
      </c>
    </row>
    <row r="7" spans="1:34" x14ac:dyDescent="0.25">
      <c r="A7" t="s">
        <v>4</v>
      </c>
      <c r="B7">
        <v>48.886871337899997</v>
      </c>
      <c r="C7">
        <v>52.152656555199997</v>
      </c>
      <c r="I7" s="5"/>
      <c r="M7">
        <v>49.3135223389</v>
      </c>
      <c r="N7">
        <v>0.39114952087400001</v>
      </c>
      <c r="O7" s="79"/>
      <c r="P7">
        <v>49.265907287600001</v>
      </c>
      <c r="Q7">
        <v>0.44426429271700002</v>
      </c>
      <c r="R7" s="79"/>
      <c r="S7">
        <v>49.214530944800003</v>
      </c>
      <c r="T7">
        <v>9.0854883193999996</v>
      </c>
      <c r="U7" s="79"/>
      <c r="V7">
        <v>49.216175079300001</v>
      </c>
      <c r="W7">
        <v>9.0916872024500002</v>
      </c>
      <c r="Y7" s="79">
        <f t="shared" si="0"/>
        <v>2</v>
      </c>
      <c r="Z7" s="79">
        <f t="shared" si="1"/>
        <v>2</v>
      </c>
      <c r="AA7" s="122">
        <f t="shared" si="2"/>
        <v>49</v>
      </c>
      <c r="AB7" s="122">
        <f t="shared" si="3"/>
        <v>0</v>
      </c>
      <c r="AC7" s="122">
        <f t="shared" si="4"/>
        <v>49</v>
      </c>
      <c r="AD7" s="122">
        <f t="shared" si="5"/>
        <v>0</v>
      </c>
      <c r="AE7" s="122">
        <f t="shared" si="6"/>
        <v>49</v>
      </c>
      <c r="AF7" s="122">
        <f t="shared" si="7"/>
        <v>9</v>
      </c>
      <c r="AG7" s="122">
        <f t="shared" si="8"/>
        <v>49</v>
      </c>
      <c r="AH7" s="122">
        <f t="shared" si="9"/>
        <v>9</v>
      </c>
    </row>
    <row r="8" spans="1:34" x14ac:dyDescent="0.25">
      <c r="A8" t="s">
        <v>5</v>
      </c>
      <c r="B8">
        <v>23.578500747700001</v>
      </c>
      <c r="C8">
        <v>2.3889541625999999E-2</v>
      </c>
      <c r="I8" s="5"/>
      <c r="M8">
        <v>0.46055316925000001</v>
      </c>
      <c r="N8">
        <v>1.8930435180699999E-2</v>
      </c>
      <c r="O8" s="79"/>
      <c r="P8">
        <v>0.45840740203899999</v>
      </c>
      <c r="Q8">
        <v>4.6980999410200001E-2</v>
      </c>
      <c r="R8" s="79"/>
      <c r="S8">
        <v>0.39334297180200001</v>
      </c>
      <c r="T8">
        <v>6.1416625976599998E-2</v>
      </c>
      <c r="U8" s="79"/>
      <c r="V8">
        <v>0.33094882965099998</v>
      </c>
      <c r="W8">
        <v>7.7056884765600006E-2</v>
      </c>
      <c r="Y8" s="79">
        <f t="shared" si="0"/>
        <v>4</v>
      </c>
      <c r="Z8" s="79">
        <f t="shared" si="1"/>
        <v>4</v>
      </c>
      <c r="AA8" s="122">
        <f t="shared" si="2"/>
        <v>0</v>
      </c>
      <c r="AB8" s="122">
        <f t="shared" si="3"/>
        <v>0</v>
      </c>
      <c r="AC8" s="122">
        <f t="shared" si="4"/>
        <v>0</v>
      </c>
      <c r="AD8" s="122">
        <f t="shared" si="5"/>
        <v>0</v>
      </c>
      <c r="AE8" s="122">
        <f t="shared" si="6"/>
        <v>0</v>
      </c>
      <c r="AF8" s="122">
        <f t="shared" si="7"/>
        <v>0</v>
      </c>
      <c r="AG8" s="122">
        <f t="shared" si="8"/>
        <v>0</v>
      </c>
      <c r="AH8" s="122">
        <f t="shared" si="9"/>
        <v>0</v>
      </c>
    </row>
    <row r="9" spans="1:34" x14ac:dyDescent="0.25">
      <c r="A9" t="s">
        <v>6</v>
      </c>
      <c r="B9">
        <v>50.343776702900001</v>
      </c>
      <c r="C9">
        <v>45.660232543900001</v>
      </c>
      <c r="I9" s="5"/>
      <c r="M9">
        <v>22.3567237854</v>
      </c>
      <c r="N9">
        <v>0.38697719574</v>
      </c>
      <c r="O9" s="79"/>
      <c r="P9">
        <v>22.3651161194</v>
      </c>
      <c r="Q9">
        <v>0.44048219919199999</v>
      </c>
      <c r="R9" s="79"/>
      <c r="S9">
        <v>22.376394271900001</v>
      </c>
      <c r="T9">
        <v>45.256851196299998</v>
      </c>
      <c r="U9" s="79"/>
      <c r="V9">
        <v>22.4112033844</v>
      </c>
      <c r="W9">
        <v>100.010635376</v>
      </c>
      <c r="Y9" s="79">
        <f t="shared" si="0"/>
        <v>2</v>
      </c>
      <c r="Z9" s="79">
        <f t="shared" si="1"/>
        <v>2</v>
      </c>
      <c r="AA9" s="122">
        <f t="shared" si="2"/>
        <v>22</v>
      </c>
      <c r="AB9" s="122">
        <f t="shared" si="3"/>
        <v>0</v>
      </c>
      <c r="AC9" s="122">
        <f t="shared" si="4"/>
        <v>22</v>
      </c>
      <c r="AD9" s="122">
        <f t="shared" si="5"/>
        <v>0</v>
      </c>
      <c r="AE9" s="122">
        <f t="shared" si="6"/>
        <v>22</v>
      </c>
      <c r="AF9" s="122">
        <f t="shared" si="7"/>
        <v>45</v>
      </c>
      <c r="AG9" s="122">
        <f t="shared" si="8"/>
        <v>22</v>
      </c>
      <c r="AH9" s="122">
        <f t="shared" si="9"/>
        <v>100</v>
      </c>
    </row>
    <row r="10" spans="1:34" x14ac:dyDescent="0.25">
      <c r="A10" t="s">
        <v>7</v>
      </c>
      <c r="B10">
        <v>55.379199981699998</v>
      </c>
      <c r="C10">
        <v>47.447181701700003</v>
      </c>
      <c r="I10" s="5"/>
      <c r="M10">
        <v>0.48129558563199998</v>
      </c>
      <c r="N10">
        <v>0.36146640777599998</v>
      </c>
      <c r="O10" s="79"/>
      <c r="P10">
        <v>0.48232078552199997</v>
      </c>
      <c r="Q10">
        <v>0.41424819827100001</v>
      </c>
      <c r="R10" s="79"/>
      <c r="S10">
        <v>0.47931671142600002</v>
      </c>
      <c r="T10">
        <v>13.312292099</v>
      </c>
      <c r="U10" s="79"/>
      <c r="V10">
        <v>0.478434562683</v>
      </c>
      <c r="W10">
        <v>13.323354721099999</v>
      </c>
      <c r="Y10" s="79">
        <f t="shared" si="0"/>
        <v>4</v>
      </c>
      <c r="Z10" s="79">
        <f t="shared" si="1"/>
        <v>2</v>
      </c>
      <c r="AA10" s="122">
        <f t="shared" si="2"/>
        <v>0</v>
      </c>
      <c r="AB10" s="122">
        <f t="shared" si="3"/>
        <v>0</v>
      </c>
      <c r="AC10" s="122">
        <f t="shared" si="4"/>
        <v>0</v>
      </c>
      <c r="AD10" s="122">
        <f t="shared" si="5"/>
        <v>0</v>
      </c>
      <c r="AE10" s="122">
        <f t="shared" si="6"/>
        <v>0</v>
      </c>
      <c r="AF10" s="122">
        <f t="shared" si="7"/>
        <v>13</v>
      </c>
      <c r="AG10" s="122">
        <f t="shared" si="8"/>
        <v>0</v>
      </c>
      <c r="AH10" s="122">
        <f t="shared" si="9"/>
        <v>13</v>
      </c>
    </row>
    <row r="11" spans="1:34" x14ac:dyDescent="0.25">
      <c r="A11" t="s">
        <v>8</v>
      </c>
      <c r="B11">
        <v>59.4585647583</v>
      </c>
      <c r="C11">
        <v>49.484611511200001</v>
      </c>
      <c r="I11" s="5"/>
      <c r="M11">
        <v>43.141651153600002</v>
      </c>
      <c r="N11">
        <v>-5.3286552429200003E-2</v>
      </c>
      <c r="O11" s="79"/>
      <c r="P11">
        <v>43.099475860600002</v>
      </c>
      <c r="Q11">
        <v>-1.44902407192E-3</v>
      </c>
      <c r="R11" s="79"/>
      <c r="S11">
        <v>43.053649902300002</v>
      </c>
      <c r="T11">
        <v>-4.4226646423300001E-2</v>
      </c>
      <c r="U11" s="79"/>
      <c r="V11">
        <v>64.797119140600003</v>
      </c>
      <c r="W11">
        <v>1.0585784912100001E-2</v>
      </c>
      <c r="Y11" s="79">
        <f t="shared" si="0"/>
        <v>2</v>
      </c>
      <c r="Z11" s="79">
        <f t="shared" si="1"/>
        <v>2</v>
      </c>
      <c r="AA11" s="122">
        <f t="shared" si="2"/>
        <v>43</v>
      </c>
      <c r="AB11" s="122">
        <f t="shared" si="3"/>
        <v>0</v>
      </c>
      <c r="AC11" s="122">
        <f t="shared" si="4"/>
        <v>43</v>
      </c>
      <c r="AD11" s="122">
        <f t="shared" si="5"/>
        <v>0</v>
      </c>
      <c r="AE11" s="122">
        <f t="shared" si="6"/>
        <v>43</v>
      </c>
      <c r="AF11" s="122">
        <f t="shared" si="7"/>
        <v>0</v>
      </c>
      <c r="AG11" s="122">
        <f t="shared" si="8"/>
        <v>64</v>
      </c>
      <c r="AH11" s="122">
        <f t="shared" si="9"/>
        <v>0</v>
      </c>
    </row>
    <row r="12" spans="1:34" x14ac:dyDescent="0.25">
      <c r="A12" t="s">
        <v>9</v>
      </c>
      <c r="B12">
        <v>56.421447753899997</v>
      </c>
      <c r="C12">
        <v>51.582695007300003</v>
      </c>
      <c r="I12" s="5"/>
      <c r="M12">
        <v>-5.5336952209500002E-2</v>
      </c>
      <c r="N12">
        <v>0.36082267761199999</v>
      </c>
      <c r="O12" s="79"/>
      <c r="P12">
        <v>-5.18798828125E-2</v>
      </c>
      <c r="Q12">
        <v>0.41353902220700001</v>
      </c>
      <c r="R12" s="79"/>
      <c r="S12">
        <v>-4.9209594726599998E-2</v>
      </c>
      <c r="T12">
        <v>6.7714691162099996</v>
      </c>
      <c r="U12" s="79"/>
      <c r="V12">
        <v>7.0571899414099996E-3</v>
      </c>
      <c r="W12">
        <v>6.8073511123700001</v>
      </c>
      <c r="Y12" s="79">
        <f t="shared" si="0"/>
        <v>4</v>
      </c>
      <c r="Z12" s="79">
        <f t="shared" si="1"/>
        <v>2</v>
      </c>
      <c r="AA12" s="122">
        <f t="shared" si="2"/>
        <v>0</v>
      </c>
      <c r="AB12" s="122">
        <f t="shared" si="3"/>
        <v>0</v>
      </c>
      <c r="AC12" s="122">
        <f t="shared" si="4"/>
        <v>0</v>
      </c>
      <c r="AD12" s="122">
        <f t="shared" si="5"/>
        <v>0</v>
      </c>
      <c r="AE12" s="122">
        <f t="shared" si="6"/>
        <v>0</v>
      </c>
      <c r="AF12" s="122">
        <f t="shared" si="7"/>
        <v>6</v>
      </c>
      <c r="AG12" s="122">
        <f t="shared" si="8"/>
        <v>0</v>
      </c>
      <c r="AH12" s="122">
        <f t="shared" si="9"/>
        <v>6</v>
      </c>
    </row>
    <row r="13" spans="1:34" x14ac:dyDescent="0.25">
      <c r="A13" t="s">
        <v>10</v>
      </c>
      <c r="B13">
        <v>51.589870452900001</v>
      </c>
      <c r="C13">
        <v>31.6949615479</v>
      </c>
      <c r="I13" s="5"/>
      <c r="M13">
        <v>50.831626892099997</v>
      </c>
      <c r="N13">
        <v>0.391745567322</v>
      </c>
      <c r="O13" s="79"/>
      <c r="P13">
        <v>50.775836944600002</v>
      </c>
      <c r="Q13">
        <v>0.44458785653100003</v>
      </c>
      <c r="R13" s="79"/>
      <c r="S13">
        <v>50.668788909900002</v>
      </c>
      <c r="T13">
        <v>54.587791442899999</v>
      </c>
      <c r="U13" s="79"/>
      <c r="V13">
        <v>50.698352813699998</v>
      </c>
      <c r="W13">
        <v>54.588172912600001</v>
      </c>
      <c r="Y13" s="79">
        <f t="shared" si="0"/>
        <v>2</v>
      </c>
      <c r="Z13" s="79">
        <f t="shared" si="1"/>
        <v>2</v>
      </c>
      <c r="AA13" s="122">
        <f t="shared" si="2"/>
        <v>50</v>
      </c>
      <c r="AB13" s="122">
        <f t="shared" si="3"/>
        <v>0</v>
      </c>
      <c r="AC13" s="122">
        <f t="shared" si="4"/>
        <v>50</v>
      </c>
      <c r="AD13" s="122">
        <f t="shared" si="5"/>
        <v>0</v>
      </c>
      <c r="AE13" s="122">
        <f t="shared" si="6"/>
        <v>50</v>
      </c>
      <c r="AF13" s="122">
        <f t="shared" si="7"/>
        <v>54</v>
      </c>
      <c r="AG13" s="122">
        <f t="shared" si="8"/>
        <v>50</v>
      </c>
      <c r="AH13" s="122">
        <f t="shared" si="9"/>
        <v>54</v>
      </c>
    </row>
    <row r="14" spans="1:34" x14ac:dyDescent="0.25">
      <c r="A14" t="s">
        <v>11</v>
      </c>
      <c r="B14">
        <v>49.080513000499998</v>
      </c>
      <c r="C14">
        <v>59.352684021000002</v>
      </c>
      <c r="I14" s="5"/>
      <c r="M14">
        <v>50.209785461400003</v>
      </c>
      <c r="N14">
        <v>0.386714935303</v>
      </c>
      <c r="O14" s="79"/>
      <c r="P14">
        <v>50.164009094199997</v>
      </c>
      <c r="Q14">
        <v>0.44078019261399998</v>
      </c>
      <c r="R14" s="79"/>
      <c r="S14">
        <v>50.070594787600001</v>
      </c>
      <c r="T14">
        <v>58.147216796899997</v>
      </c>
      <c r="U14" s="79"/>
      <c r="V14">
        <v>50.068450927699999</v>
      </c>
      <c r="W14">
        <v>58.116485595699999</v>
      </c>
      <c r="Y14" s="79">
        <f t="shared" si="0"/>
        <v>2</v>
      </c>
      <c r="Z14" s="79">
        <f t="shared" si="1"/>
        <v>2</v>
      </c>
      <c r="AA14" s="122">
        <f t="shared" si="2"/>
        <v>50</v>
      </c>
      <c r="AB14" s="122">
        <f t="shared" si="3"/>
        <v>0</v>
      </c>
      <c r="AC14" s="122">
        <f t="shared" si="4"/>
        <v>50</v>
      </c>
      <c r="AD14" s="122">
        <f t="shared" si="5"/>
        <v>0</v>
      </c>
      <c r="AE14" s="122">
        <f t="shared" si="6"/>
        <v>50</v>
      </c>
      <c r="AF14" s="122">
        <f t="shared" si="7"/>
        <v>58</v>
      </c>
      <c r="AG14" s="122">
        <f t="shared" si="8"/>
        <v>50</v>
      </c>
      <c r="AH14" s="122">
        <f t="shared" si="9"/>
        <v>58</v>
      </c>
    </row>
    <row r="15" spans="1:34" x14ac:dyDescent="0.25">
      <c r="A15" t="s">
        <v>12</v>
      </c>
      <c r="B15">
        <v>47.641086578399999</v>
      </c>
      <c r="C15">
        <v>9.0503692627000004E-2</v>
      </c>
      <c r="I15" s="5"/>
      <c r="M15">
        <v>48.427604675300003</v>
      </c>
      <c r="N15">
        <v>0.37844181060799997</v>
      </c>
      <c r="O15" s="79"/>
      <c r="P15">
        <v>48.392986297599997</v>
      </c>
      <c r="Q15">
        <v>0.432148963213</v>
      </c>
      <c r="R15" s="79"/>
      <c r="S15">
        <v>48.349166870099999</v>
      </c>
      <c r="T15">
        <v>33.101104736300002</v>
      </c>
      <c r="U15" s="79"/>
      <c r="V15">
        <v>48.330879211400003</v>
      </c>
      <c r="W15">
        <v>33.112812042199998</v>
      </c>
      <c r="Y15" s="79">
        <f t="shared" si="0"/>
        <v>2</v>
      </c>
      <c r="Z15" s="79">
        <f t="shared" si="1"/>
        <v>2</v>
      </c>
      <c r="AA15" s="122">
        <f t="shared" si="2"/>
        <v>48</v>
      </c>
      <c r="AB15" s="122">
        <f t="shared" si="3"/>
        <v>0</v>
      </c>
      <c r="AC15" s="122">
        <f t="shared" si="4"/>
        <v>48</v>
      </c>
      <c r="AD15" s="122">
        <f t="shared" si="5"/>
        <v>0</v>
      </c>
      <c r="AE15" s="122">
        <f t="shared" si="6"/>
        <v>48</v>
      </c>
      <c r="AF15" s="122">
        <f t="shared" si="7"/>
        <v>33</v>
      </c>
      <c r="AG15" s="122">
        <f t="shared" si="8"/>
        <v>48</v>
      </c>
      <c r="AH15" s="122">
        <f t="shared" si="9"/>
        <v>33</v>
      </c>
    </row>
    <row r="16" spans="1:34" x14ac:dyDescent="0.25">
      <c r="A16" t="s">
        <v>13</v>
      </c>
      <c r="B16">
        <v>42.337535858199999</v>
      </c>
      <c r="C16">
        <v>50.346138000499998</v>
      </c>
      <c r="I16" s="5"/>
      <c r="M16">
        <v>46.966053008999999</v>
      </c>
      <c r="N16">
        <v>0.36275386810299998</v>
      </c>
      <c r="O16" s="79"/>
      <c r="P16">
        <v>46.915794372599997</v>
      </c>
      <c r="Q16">
        <v>0.41574081778499999</v>
      </c>
      <c r="R16" s="79"/>
      <c r="S16">
        <v>46.854473114000001</v>
      </c>
      <c r="T16">
        <v>7.68458843231</v>
      </c>
      <c r="U16" s="79"/>
      <c r="V16">
        <v>46.854282379200001</v>
      </c>
      <c r="W16">
        <v>7.68938064575</v>
      </c>
      <c r="Y16" s="79">
        <f t="shared" si="0"/>
        <v>2</v>
      </c>
      <c r="Z16" s="79">
        <f t="shared" si="1"/>
        <v>2</v>
      </c>
      <c r="AA16" s="122">
        <f t="shared" si="2"/>
        <v>46</v>
      </c>
      <c r="AB16" s="122">
        <f t="shared" si="3"/>
        <v>0</v>
      </c>
      <c r="AC16" s="122">
        <f t="shared" si="4"/>
        <v>46</v>
      </c>
      <c r="AD16" s="122">
        <f t="shared" si="5"/>
        <v>0</v>
      </c>
      <c r="AE16" s="122">
        <f t="shared" si="6"/>
        <v>46</v>
      </c>
      <c r="AF16" s="122">
        <f t="shared" si="7"/>
        <v>7</v>
      </c>
      <c r="AG16" s="122">
        <f t="shared" si="8"/>
        <v>46</v>
      </c>
      <c r="AH16" s="122">
        <f t="shared" si="9"/>
        <v>7</v>
      </c>
    </row>
    <row r="17" spans="1:34" x14ac:dyDescent="0.25">
      <c r="A17" t="s">
        <v>14</v>
      </c>
      <c r="B17">
        <v>41.148803710899998</v>
      </c>
      <c r="C17">
        <v>45.096755981400001</v>
      </c>
      <c r="I17" s="5"/>
      <c r="M17">
        <v>46.3417510986</v>
      </c>
      <c r="N17">
        <v>0.38583278655999997</v>
      </c>
      <c r="O17" s="79"/>
      <c r="P17">
        <v>46.2983360291</v>
      </c>
      <c r="Q17">
        <v>0.43848273158099998</v>
      </c>
      <c r="R17" s="79"/>
      <c r="S17">
        <v>46.211837768599999</v>
      </c>
      <c r="T17">
        <v>15.5643463135</v>
      </c>
      <c r="U17" s="79"/>
      <c r="V17">
        <v>46.217990875200002</v>
      </c>
      <c r="W17">
        <v>100.010391235</v>
      </c>
      <c r="Y17" s="79">
        <f t="shared" si="0"/>
        <v>2</v>
      </c>
      <c r="Z17" s="79">
        <f t="shared" si="1"/>
        <v>2</v>
      </c>
      <c r="AA17" s="122">
        <f t="shared" si="2"/>
        <v>46</v>
      </c>
      <c r="AB17" s="122">
        <f t="shared" si="3"/>
        <v>0</v>
      </c>
      <c r="AC17" s="122">
        <f t="shared" si="4"/>
        <v>46</v>
      </c>
      <c r="AD17" s="122">
        <f t="shared" si="5"/>
        <v>0</v>
      </c>
      <c r="AE17" s="122">
        <f t="shared" si="6"/>
        <v>46</v>
      </c>
      <c r="AF17" s="122">
        <f t="shared" si="7"/>
        <v>15</v>
      </c>
      <c r="AG17" s="122">
        <f t="shared" si="8"/>
        <v>46</v>
      </c>
      <c r="AH17" s="122">
        <f t="shared" si="9"/>
        <v>100</v>
      </c>
    </row>
    <row r="18" spans="1:34" x14ac:dyDescent="0.25">
      <c r="A18" t="s">
        <v>15</v>
      </c>
      <c r="B18">
        <v>52.754116058299999</v>
      </c>
      <c r="C18">
        <v>47.605800628700003</v>
      </c>
      <c r="I18" s="5"/>
      <c r="M18">
        <v>51.976322174099998</v>
      </c>
      <c r="N18">
        <v>0.38516521453899999</v>
      </c>
      <c r="O18" s="79"/>
      <c r="P18">
        <v>51.938583373999997</v>
      </c>
      <c r="Q18">
        <v>0.43879848718600001</v>
      </c>
      <c r="R18" s="79"/>
      <c r="S18">
        <v>51.871826171899997</v>
      </c>
      <c r="T18">
        <v>46.243095397899999</v>
      </c>
      <c r="U18" s="79"/>
      <c r="V18">
        <v>51.876449585000003</v>
      </c>
      <c r="W18">
        <v>46.1979866028</v>
      </c>
      <c r="Y18" s="79">
        <f t="shared" si="0"/>
        <v>2</v>
      </c>
      <c r="Z18" s="79">
        <f t="shared" si="1"/>
        <v>2</v>
      </c>
      <c r="AA18" s="122">
        <f t="shared" si="2"/>
        <v>51</v>
      </c>
      <c r="AB18" s="122">
        <f t="shared" si="3"/>
        <v>0</v>
      </c>
      <c r="AC18" s="122">
        <f t="shared" si="4"/>
        <v>51</v>
      </c>
      <c r="AD18" s="122">
        <f t="shared" si="5"/>
        <v>0</v>
      </c>
      <c r="AE18" s="122">
        <f t="shared" si="6"/>
        <v>51</v>
      </c>
      <c r="AF18" s="122">
        <f t="shared" si="7"/>
        <v>46</v>
      </c>
      <c r="AG18" s="122">
        <f t="shared" si="8"/>
        <v>51</v>
      </c>
      <c r="AH18" s="122">
        <f t="shared" si="9"/>
        <v>46</v>
      </c>
    </row>
    <row r="19" spans="1:34" x14ac:dyDescent="0.25">
      <c r="A19" t="s">
        <v>16</v>
      </c>
      <c r="B19">
        <v>58.244895935099997</v>
      </c>
      <c r="C19">
        <v>48.805881500200002</v>
      </c>
      <c r="I19" s="5"/>
      <c r="M19">
        <v>57.6554794312</v>
      </c>
      <c r="N19">
        <v>0.385642051697</v>
      </c>
      <c r="O19" s="79"/>
      <c r="P19">
        <v>57.585071563699998</v>
      </c>
      <c r="Q19">
        <v>0.43867850303599998</v>
      </c>
      <c r="R19" s="79"/>
      <c r="S19">
        <v>57.452655792199998</v>
      </c>
      <c r="T19">
        <v>43.7959213257</v>
      </c>
      <c r="U19" s="79"/>
      <c r="V19">
        <v>100.007537842</v>
      </c>
      <c r="W19">
        <v>43.350337982200003</v>
      </c>
      <c r="Y19" s="79">
        <f t="shared" si="0"/>
        <v>2</v>
      </c>
      <c r="Z19" s="79">
        <f t="shared" si="1"/>
        <v>2</v>
      </c>
      <c r="AA19" s="122">
        <f t="shared" si="2"/>
        <v>57</v>
      </c>
      <c r="AB19" s="122">
        <f t="shared" si="3"/>
        <v>0</v>
      </c>
      <c r="AC19" s="122">
        <f t="shared" si="4"/>
        <v>57</v>
      </c>
      <c r="AD19" s="122">
        <f t="shared" si="5"/>
        <v>0</v>
      </c>
      <c r="AE19" s="122">
        <f t="shared" si="6"/>
        <v>57</v>
      </c>
      <c r="AF19" s="122">
        <f t="shared" si="7"/>
        <v>43</v>
      </c>
      <c r="AG19" s="122">
        <f t="shared" si="8"/>
        <v>100</v>
      </c>
      <c r="AH19" s="122">
        <f t="shared" si="9"/>
        <v>43</v>
      </c>
    </row>
    <row r="20" spans="1:34" x14ac:dyDescent="0.25">
      <c r="A20" t="s">
        <v>17</v>
      </c>
      <c r="B20">
        <v>58.948753356899999</v>
      </c>
      <c r="C20">
        <v>52.3276329041</v>
      </c>
      <c r="I20" s="5"/>
      <c r="M20">
        <v>45.4015731812</v>
      </c>
      <c r="N20">
        <v>0.39129257202099998</v>
      </c>
      <c r="O20" s="79"/>
      <c r="P20">
        <v>45.387290954599997</v>
      </c>
      <c r="Q20">
        <v>0.44474795460700001</v>
      </c>
      <c r="R20" s="79"/>
      <c r="S20">
        <v>45.299720764200003</v>
      </c>
      <c r="T20">
        <v>50.608848571800003</v>
      </c>
      <c r="U20" s="79"/>
      <c r="V20">
        <v>100.006248474</v>
      </c>
      <c r="W20">
        <v>50.5935668945</v>
      </c>
      <c r="Y20" s="79">
        <f t="shared" si="0"/>
        <v>2</v>
      </c>
      <c r="Z20" s="79">
        <f t="shared" si="1"/>
        <v>2</v>
      </c>
      <c r="AA20" s="122">
        <f t="shared" si="2"/>
        <v>45</v>
      </c>
      <c r="AB20" s="122">
        <f t="shared" si="3"/>
        <v>0</v>
      </c>
      <c r="AC20" s="122">
        <f t="shared" si="4"/>
        <v>45</v>
      </c>
      <c r="AD20" s="122">
        <f t="shared" si="5"/>
        <v>0</v>
      </c>
      <c r="AE20" s="122">
        <f t="shared" si="6"/>
        <v>45</v>
      </c>
      <c r="AF20" s="122">
        <f t="shared" si="7"/>
        <v>50</v>
      </c>
      <c r="AG20" s="122">
        <f t="shared" si="8"/>
        <v>100</v>
      </c>
      <c r="AH20" s="122">
        <f t="shared" si="9"/>
        <v>50</v>
      </c>
    </row>
    <row r="21" spans="1:34" x14ac:dyDescent="0.25">
      <c r="A21" t="s">
        <v>18</v>
      </c>
      <c r="B21">
        <v>45.977806091300003</v>
      </c>
      <c r="C21">
        <v>55.0771255493</v>
      </c>
      <c r="I21" s="5"/>
      <c r="M21">
        <v>58.295558929400002</v>
      </c>
      <c r="N21">
        <v>0.38990974426300001</v>
      </c>
      <c r="O21" s="79"/>
      <c r="P21">
        <v>58.238719940199999</v>
      </c>
      <c r="Q21">
        <v>0.44288700818999999</v>
      </c>
      <c r="R21" s="79"/>
      <c r="S21">
        <v>58.128070831300001</v>
      </c>
      <c r="T21">
        <v>53.626441955600001</v>
      </c>
      <c r="U21" s="79"/>
      <c r="V21">
        <v>100.00669860799999</v>
      </c>
      <c r="W21">
        <v>53.627922058099998</v>
      </c>
      <c r="Y21" s="79">
        <f t="shared" si="0"/>
        <v>2</v>
      </c>
      <c r="Z21" s="79">
        <f t="shared" si="1"/>
        <v>2</v>
      </c>
      <c r="AA21" s="122">
        <f t="shared" si="2"/>
        <v>58</v>
      </c>
      <c r="AB21" s="122">
        <f t="shared" si="3"/>
        <v>0</v>
      </c>
      <c r="AC21" s="122">
        <f t="shared" si="4"/>
        <v>58</v>
      </c>
      <c r="AD21" s="122">
        <f t="shared" si="5"/>
        <v>0</v>
      </c>
      <c r="AE21" s="122">
        <f t="shared" si="6"/>
        <v>58</v>
      </c>
      <c r="AF21" s="122">
        <f t="shared" si="7"/>
        <v>53</v>
      </c>
      <c r="AG21" s="122">
        <f t="shared" si="8"/>
        <v>100</v>
      </c>
      <c r="AH21" s="122">
        <f t="shared" si="9"/>
        <v>53</v>
      </c>
    </row>
    <row r="22" spans="1:34" x14ac:dyDescent="0.25">
      <c r="A22" t="s">
        <v>19</v>
      </c>
      <c r="B22">
        <v>55.478263855000002</v>
      </c>
      <c r="C22">
        <v>58.8519096375</v>
      </c>
      <c r="I22" s="5"/>
      <c r="M22">
        <v>54.422451019299999</v>
      </c>
      <c r="N22">
        <v>8.0966949462900006E-2</v>
      </c>
      <c r="O22" s="79"/>
      <c r="P22">
        <v>54.377292633099998</v>
      </c>
      <c r="Q22">
        <v>0.11060594022299999</v>
      </c>
      <c r="R22" s="79"/>
      <c r="S22">
        <v>54.302787780800003</v>
      </c>
      <c r="T22">
        <v>0.10402202606200001</v>
      </c>
      <c r="U22" s="79"/>
      <c r="V22">
        <v>64.9086227417</v>
      </c>
      <c r="W22">
        <v>0.123167037964</v>
      </c>
      <c r="Y22" s="79">
        <f t="shared" si="0"/>
        <v>2</v>
      </c>
      <c r="Z22" s="79">
        <f t="shared" si="1"/>
        <v>2</v>
      </c>
      <c r="AA22" s="122">
        <f t="shared" si="2"/>
        <v>54</v>
      </c>
      <c r="AB22" s="122">
        <f t="shared" si="3"/>
        <v>0</v>
      </c>
      <c r="AC22" s="122">
        <f t="shared" si="4"/>
        <v>54</v>
      </c>
      <c r="AD22" s="122">
        <f t="shared" si="5"/>
        <v>0</v>
      </c>
      <c r="AE22" s="122">
        <f t="shared" si="6"/>
        <v>54</v>
      </c>
      <c r="AF22" s="122">
        <f t="shared" si="7"/>
        <v>0</v>
      </c>
      <c r="AG22" s="122">
        <f t="shared" si="8"/>
        <v>64</v>
      </c>
      <c r="AH22" s="122">
        <f t="shared" si="9"/>
        <v>0</v>
      </c>
    </row>
    <row r="23" spans="1:34" x14ac:dyDescent="0.25">
      <c r="A23" t="s">
        <v>20</v>
      </c>
      <c r="B23">
        <v>52.4308700562</v>
      </c>
      <c r="C23">
        <v>60.713577270499997</v>
      </c>
      <c r="I23" s="5"/>
      <c r="M23">
        <v>49.731277465799998</v>
      </c>
      <c r="N23">
        <v>0.38926601409900002</v>
      </c>
      <c r="O23" s="79"/>
      <c r="P23">
        <v>49.693393707299997</v>
      </c>
      <c r="Q23">
        <v>0.44270750880199999</v>
      </c>
      <c r="R23" s="79"/>
      <c r="S23">
        <v>49.607894897500003</v>
      </c>
      <c r="T23">
        <v>58.334041595499997</v>
      </c>
      <c r="U23" s="79"/>
      <c r="V23">
        <v>100.00634002699999</v>
      </c>
      <c r="W23">
        <v>58.278369903600002</v>
      </c>
      <c r="Y23" s="79">
        <f t="shared" si="0"/>
        <v>2</v>
      </c>
      <c r="Z23" s="79">
        <f t="shared" si="1"/>
        <v>2</v>
      </c>
      <c r="AA23" s="122">
        <f t="shared" si="2"/>
        <v>49</v>
      </c>
      <c r="AB23" s="122">
        <f t="shared" si="3"/>
        <v>0</v>
      </c>
      <c r="AC23" s="122">
        <f t="shared" si="4"/>
        <v>49</v>
      </c>
      <c r="AD23" s="122">
        <f t="shared" si="5"/>
        <v>0</v>
      </c>
      <c r="AE23" s="122">
        <f t="shared" si="6"/>
        <v>49</v>
      </c>
      <c r="AF23" s="122">
        <f t="shared" si="7"/>
        <v>58</v>
      </c>
      <c r="AG23" s="122">
        <f t="shared" si="8"/>
        <v>100</v>
      </c>
      <c r="AH23" s="122">
        <f t="shared" si="9"/>
        <v>58</v>
      </c>
    </row>
    <row r="24" spans="1:34" x14ac:dyDescent="0.25">
      <c r="A24" t="s">
        <v>21</v>
      </c>
      <c r="B24">
        <v>49.480606079099999</v>
      </c>
      <c r="C24">
        <v>58.862472534200002</v>
      </c>
      <c r="I24" s="5"/>
      <c r="M24">
        <v>0.90956687927199997</v>
      </c>
      <c r="N24">
        <v>0.36821365356399999</v>
      </c>
      <c r="O24" s="79"/>
      <c r="P24">
        <v>0.91063976287799997</v>
      </c>
      <c r="Q24">
        <v>0.42115998268100002</v>
      </c>
      <c r="R24" s="79"/>
      <c r="S24">
        <v>0.905561447144</v>
      </c>
      <c r="T24">
        <v>57.044528961200001</v>
      </c>
      <c r="U24" s="79"/>
      <c r="V24">
        <v>100.006393433</v>
      </c>
      <c r="W24">
        <v>57.020877838099999</v>
      </c>
      <c r="Y24" s="79">
        <f t="shared" si="0"/>
        <v>4</v>
      </c>
      <c r="Z24" s="79">
        <f t="shared" si="1"/>
        <v>2</v>
      </c>
      <c r="AA24" s="122">
        <f t="shared" si="2"/>
        <v>0</v>
      </c>
      <c r="AB24" s="122">
        <f t="shared" si="3"/>
        <v>0</v>
      </c>
      <c r="AC24" s="122">
        <f t="shared" si="4"/>
        <v>0</v>
      </c>
      <c r="AD24" s="122">
        <f t="shared" si="5"/>
        <v>0</v>
      </c>
      <c r="AE24" s="122">
        <f t="shared" si="6"/>
        <v>0</v>
      </c>
      <c r="AF24" s="122">
        <f t="shared" si="7"/>
        <v>57</v>
      </c>
      <c r="AG24" s="122">
        <f t="shared" si="8"/>
        <v>100</v>
      </c>
      <c r="AH24" s="122">
        <f t="shared" si="9"/>
        <v>57</v>
      </c>
    </row>
    <row r="25" spans="1:34" x14ac:dyDescent="0.25">
      <c r="A25" t="s">
        <v>22</v>
      </c>
      <c r="B25">
        <v>48.024772644000002</v>
      </c>
      <c r="C25">
        <v>53.376342773399998</v>
      </c>
      <c r="I25" s="5"/>
      <c r="M25">
        <v>45.805213928199997</v>
      </c>
      <c r="N25">
        <v>0.37531852722199999</v>
      </c>
      <c r="O25" s="79"/>
      <c r="P25">
        <v>45.860054016100001</v>
      </c>
      <c r="Q25">
        <v>0.42746838927300002</v>
      </c>
      <c r="R25" s="79"/>
      <c r="S25">
        <v>46.3219146729</v>
      </c>
      <c r="T25">
        <v>52.127742767299999</v>
      </c>
      <c r="U25" s="79"/>
      <c r="V25">
        <v>100.006126404</v>
      </c>
      <c r="W25">
        <v>52.105808258099998</v>
      </c>
      <c r="Y25" s="79">
        <f t="shared" si="0"/>
        <v>2</v>
      </c>
      <c r="Z25" s="79">
        <f t="shared" si="1"/>
        <v>2</v>
      </c>
      <c r="AA25" s="122">
        <f t="shared" si="2"/>
        <v>45</v>
      </c>
      <c r="AB25" s="122">
        <f t="shared" si="3"/>
        <v>0</v>
      </c>
      <c r="AC25" s="122">
        <f t="shared" si="4"/>
        <v>45</v>
      </c>
      <c r="AD25" s="122">
        <f t="shared" si="5"/>
        <v>0</v>
      </c>
      <c r="AE25" s="122">
        <f t="shared" si="6"/>
        <v>46</v>
      </c>
      <c r="AF25" s="122">
        <f t="shared" si="7"/>
        <v>52</v>
      </c>
      <c r="AG25" s="122">
        <f t="shared" si="8"/>
        <v>100</v>
      </c>
      <c r="AH25" s="122">
        <f t="shared" si="9"/>
        <v>52</v>
      </c>
    </row>
    <row r="26" spans="1:34" x14ac:dyDescent="0.25">
      <c r="A26" t="s">
        <v>23</v>
      </c>
      <c r="B26">
        <v>46.378944396999998</v>
      </c>
      <c r="C26">
        <v>27.125049591100002</v>
      </c>
      <c r="I26" s="5"/>
      <c r="M26">
        <v>13.540339469899999</v>
      </c>
      <c r="N26">
        <v>-5.6695938110400003E-2</v>
      </c>
      <c r="O26" s="79"/>
      <c r="P26">
        <v>13.469195365899999</v>
      </c>
      <c r="Q26">
        <v>-3.9418623782700004E-3</v>
      </c>
      <c r="R26" s="79"/>
      <c r="S26">
        <v>13.0153894424</v>
      </c>
      <c r="T26">
        <v>-4.9924850463900002E-2</v>
      </c>
      <c r="U26" s="79"/>
      <c r="V26">
        <v>12.5541210175</v>
      </c>
      <c r="W26">
        <v>77.531906127900001</v>
      </c>
      <c r="Y26" s="79">
        <f t="shared" si="0"/>
        <v>2</v>
      </c>
      <c r="Z26" s="79">
        <f t="shared" si="1"/>
        <v>0</v>
      </c>
      <c r="AA26" s="122">
        <f t="shared" si="2"/>
        <v>13</v>
      </c>
      <c r="AB26" s="122">
        <f t="shared" si="3"/>
        <v>0</v>
      </c>
      <c r="AC26" s="122">
        <f t="shared" si="4"/>
        <v>13</v>
      </c>
      <c r="AD26" s="122">
        <f t="shared" si="5"/>
        <v>0</v>
      </c>
      <c r="AE26" s="122">
        <f t="shared" si="6"/>
        <v>13</v>
      </c>
      <c r="AF26" s="122">
        <f t="shared" si="7"/>
        <v>0</v>
      </c>
      <c r="AG26" s="122">
        <f t="shared" si="8"/>
        <v>12</v>
      </c>
      <c r="AH26" s="122">
        <f t="shared" si="9"/>
        <v>77</v>
      </c>
    </row>
    <row r="27" spans="1:34" x14ac:dyDescent="0.25">
      <c r="A27" t="s">
        <v>24</v>
      </c>
      <c r="B27">
        <v>49.661231994600001</v>
      </c>
      <c r="C27">
        <v>46.814632415799998</v>
      </c>
      <c r="I27" s="5"/>
      <c r="M27">
        <v>9.6277952194199994</v>
      </c>
      <c r="N27">
        <v>0.39269924163800002</v>
      </c>
      <c r="O27" s="79"/>
      <c r="P27">
        <v>9.6288919448900003</v>
      </c>
      <c r="Q27">
        <v>0.44667595624899997</v>
      </c>
      <c r="R27" s="79"/>
      <c r="S27">
        <v>9.6260786056499992</v>
      </c>
      <c r="T27">
        <v>45.901130676299999</v>
      </c>
      <c r="U27" s="79"/>
      <c r="V27">
        <v>9.6323251724199999</v>
      </c>
      <c r="W27">
        <v>100.011108398</v>
      </c>
      <c r="Y27" s="79">
        <f t="shared" si="0"/>
        <v>2</v>
      </c>
      <c r="Z27" s="79">
        <f t="shared" si="1"/>
        <v>2</v>
      </c>
      <c r="AA27" s="122">
        <f t="shared" si="2"/>
        <v>9</v>
      </c>
      <c r="AB27" s="122">
        <f t="shared" si="3"/>
        <v>0</v>
      </c>
      <c r="AC27" s="122">
        <f t="shared" si="4"/>
        <v>9</v>
      </c>
      <c r="AD27" s="122">
        <f t="shared" si="5"/>
        <v>0</v>
      </c>
      <c r="AE27" s="122">
        <f t="shared" si="6"/>
        <v>9</v>
      </c>
      <c r="AF27" s="122">
        <f t="shared" si="7"/>
        <v>45</v>
      </c>
      <c r="AG27" s="122">
        <f t="shared" si="8"/>
        <v>9</v>
      </c>
      <c r="AH27" s="122">
        <f t="shared" si="9"/>
        <v>100</v>
      </c>
    </row>
    <row r="28" spans="1:34" x14ac:dyDescent="0.25">
      <c r="A28" t="s">
        <v>25</v>
      </c>
      <c r="B28">
        <v>54.556228637700002</v>
      </c>
      <c r="C28">
        <v>49.009277343800001</v>
      </c>
      <c r="I28" s="5"/>
      <c r="M28">
        <v>54.212615966800001</v>
      </c>
      <c r="N28">
        <v>0.38931369781500003</v>
      </c>
      <c r="O28" s="79"/>
      <c r="P28">
        <v>54.168083190899999</v>
      </c>
      <c r="Q28">
        <v>0.44288584590000002</v>
      </c>
      <c r="R28" s="79"/>
      <c r="S28">
        <v>54.093814849899999</v>
      </c>
      <c r="T28">
        <v>47.850322723399998</v>
      </c>
      <c r="U28" s="79"/>
      <c r="V28">
        <v>54.086517334</v>
      </c>
      <c r="W28">
        <v>47.835086822500003</v>
      </c>
      <c r="Y28" s="79">
        <f t="shared" si="0"/>
        <v>2</v>
      </c>
      <c r="Z28" s="79">
        <f t="shared" si="1"/>
        <v>2</v>
      </c>
      <c r="AA28" s="122">
        <f t="shared" si="2"/>
        <v>54</v>
      </c>
      <c r="AB28" s="122">
        <f t="shared" si="3"/>
        <v>0</v>
      </c>
      <c r="AC28" s="122">
        <f t="shared" si="4"/>
        <v>54</v>
      </c>
      <c r="AD28" s="122">
        <f t="shared" si="5"/>
        <v>0</v>
      </c>
      <c r="AE28" s="122">
        <f t="shared" si="6"/>
        <v>54</v>
      </c>
      <c r="AF28" s="122">
        <f t="shared" si="7"/>
        <v>47</v>
      </c>
      <c r="AG28" s="122">
        <f t="shared" si="8"/>
        <v>54</v>
      </c>
      <c r="AH28" s="122">
        <f t="shared" si="9"/>
        <v>47</v>
      </c>
    </row>
    <row r="29" spans="1:34" x14ac:dyDescent="0.25">
      <c r="A29" t="s">
        <v>26</v>
      </c>
      <c r="B29">
        <v>0.35614967346199999</v>
      </c>
      <c r="C29">
        <v>52.209045410199998</v>
      </c>
      <c r="I29" s="5"/>
      <c r="M29">
        <v>-3.1423568725600003E-2</v>
      </c>
      <c r="N29">
        <v>0.361180305481</v>
      </c>
      <c r="O29" s="79"/>
      <c r="P29">
        <v>-2.99453735352E-2</v>
      </c>
      <c r="Q29">
        <v>0.413322210312</v>
      </c>
      <c r="R29" s="79"/>
      <c r="S29">
        <v>-2.7298927307099999E-2</v>
      </c>
      <c r="T29">
        <v>4.1319370269800002</v>
      </c>
      <c r="U29" s="79"/>
      <c r="V29">
        <v>26.677799224899999</v>
      </c>
      <c r="W29">
        <v>4.1615009307899999</v>
      </c>
      <c r="Y29" s="79">
        <f t="shared" si="0"/>
        <v>4</v>
      </c>
      <c r="Z29" s="79">
        <f t="shared" si="1"/>
        <v>2</v>
      </c>
      <c r="AA29" s="122">
        <f t="shared" si="2"/>
        <v>0</v>
      </c>
      <c r="AB29" s="122">
        <f t="shared" si="3"/>
        <v>0</v>
      </c>
      <c r="AC29" s="122">
        <f t="shared" si="4"/>
        <v>0</v>
      </c>
      <c r="AD29" s="122">
        <f t="shared" si="5"/>
        <v>0</v>
      </c>
      <c r="AE29" s="122">
        <f t="shared" si="6"/>
        <v>0</v>
      </c>
      <c r="AF29" s="122">
        <f t="shared" si="7"/>
        <v>4</v>
      </c>
      <c r="AG29" s="122">
        <f t="shared" si="8"/>
        <v>26</v>
      </c>
      <c r="AH29" s="122">
        <f t="shared" si="9"/>
        <v>4</v>
      </c>
    </row>
    <row r="30" spans="1:34" x14ac:dyDescent="0.25">
      <c r="A30" t="s">
        <v>27</v>
      </c>
      <c r="B30">
        <v>58.547569274899999</v>
      </c>
      <c r="C30">
        <v>55.674816131599997</v>
      </c>
      <c r="I30" s="5"/>
      <c r="M30">
        <v>45.312736511200001</v>
      </c>
      <c r="N30">
        <v>0.38471221923799997</v>
      </c>
      <c r="O30" s="79"/>
      <c r="P30">
        <v>45.3170318604</v>
      </c>
      <c r="Q30">
        <v>0.43832635879499998</v>
      </c>
      <c r="R30" s="79"/>
      <c r="S30">
        <v>45.359825134300003</v>
      </c>
      <c r="T30">
        <v>2.11629867554</v>
      </c>
      <c r="U30" s="79"/>
      <c r="V30">
        <v>45.449924469000003</v>
      </c>
      <c r="W30">
        <v>2.1316051483199998</v>
      </c>
      <c r="Y30" s="79">
        <f t="shared" si="0"/>
        <v>2</v>
      </c>
      <c r="Z30" s="79">
        <f t="shared" si="1"/>
        <v>2</v>
      </c>
      <c r="AA30" s="122">
        <f t="shared" si="2"/>
        <v>45</v>
      </c>
      <c r="AB30" s="122">
        <f t="shared" si="3"/>
        <v>0</v>
      </c>
      <c r="AC30" s="122">
        <f t="shared" si="4"/>
        <v>45</v>
      </c>
      <c r="AD30" s="122">
        <f t="shared" si="5"/>
        <v>0</v>
      </c>
      <c r="AE30" s="122">
        <f t="shared" si="6"/>
        <v>45</v>
      </c>
      <c r="AF30" s="122">
        <f t="shared" si="7"/>
        <v>2</v>
      </c>
      <c r="AG30" s="122">
        <f t="shared" si="8"/>
        <v>45</v>
      </c>
      <c r="AH30" s="122">
        <f t="shared" si="9"/>
        <v>2</v>
      </c>
    </row>
    <row r="31" spans="1:34" x14ac:dyDescent="0.25">
      <c r="A31" t="s">
        <v>28</v>
      </c>
      <c r="B31">
        <v>58.231090545699999</v>
      </c>
      <c r="C31">
        <v>9.3545198440600004</v>
      </c>
      <c r="I31" s="5"/>
      <c r="M31">
        <v>36.307693481400001</v>
      </c>
      <c r="N31">
        <v>0.395560264587</v>
      </c>
      <c r="O31" s="79"/>
      <c r="P31">
        <v>36.297630310099997</v>
      </c>
      <c r="Q31">
        <v>0.44921925663899998</v>
      </c>
      <c r="R31" s="79"/>
      <c r="S31">
        <v>36.251544952400003</v>
      </c>
      <c r="T31">
        <v>9.8345279693599998</v>
      </c>
      <c r="U31" s="79"/>
      <c r="V31">
        <v>100.006530762</v>
      </c>
      <c r="W31">
        <v>9.8407983779899997</v>
      </c>
      <c r="Y31" s="79">
        <f t="shared" si="0"/>
        <v>2</v>
      </c>
      <c r="Z31" s="79">
        <f t="shared" si="1"/>
        <v>2</v>
      </c>
      <c r="AA31" s="122">
        <f t="shared" si="2"/>
        <v>36</v>
      </c>
      <c r="AB31" s="122">
        <f t="shared" si="3"/>
        <v>0</v>
      </c>
      <c r="AC31" s="122">
        <f t="shared" si="4"/>
        <v>36</v>
      </c>
      <c r="AD31" s="122">
        <f t="shared" si="5"/>
        <v>0</v>
      </c>
      <c r="AE31" s="122">
        <f t="shared" si="6"/>
        <v>36</v>
      </c>
      <c r="AF31" s="122">
        <f t="shared" si="7"/>
        <v>9</v>
      </c>
      <c r="AG31" s="122">
        <f t="shared" si="8"/>
        <v>100</v>
      </c>
      <c r="AH31" s="122">
        <f t="shared" si="9"/>
        <v>9</v>
      </c>
    </row>
    <row r="32" spans="1:34" x14ac:dyDescent="0.25">
      <c r="A32" t="s">
        <v>29</v>
      </c>
      <c r="B32">
        <v>7.2160720825200002</v>
      </c>
      <c r="C32">
        <v>58.815933227499997</v>
      </c>
      <c r="I32" s="5"/>
      <c r="M32">
        <v>57.889221191399997</v>
      </c>
      <c r="N32">
        <v>0.39122104644799999</v>
      </c>
      <c r="O32" s="79"/>
      <c r="P32">
        <v>57.8189620972</v>
      </c>
      <c r="Q32">
        <v>0.44419050216700001</v>
      </c>
      <c r="R32" s="79"/>
      <c r="S32">
        <v>57.644367217999999</v>
      </c>
      <c r="T32">
        <v>56.780410766599999</v>
      </c>
      <c r="U32" s="79"/>
      <c r="V32">
        <v>100.006652832</v>
      </c>
      <c r="W32">
        <v>56.7644348145</v>
      </c>
      <c r="Y32" s="79">
        <f t="shared" si="0"/>
        <v>2</v>
      </c>
      <c r="Z32" s="79">
        <f t="shared" si="1"/>
        <v>2</v>
      </c>
      <c r="AA32" s="122">
        <f t="shared" si="2"/>
        <v>57</v>
      </c>
      <c r="AB32" s="122">
        <f t="shared" si="3"/>
        <v>0</v>
      </c>
      <c r="AC32" s="122">
        <f t="shared" si="4"/>
        <v>57</v>
      </c>
      <c r="AD32" s="122">
        <f t="shared" si="5"/>
        <v>0</v>
      </c>
      <c r="AE32" s="122">
        <f t="shared" si="6"/>
        <v>57</v>
      </c>
      <c r="AF32" s="122">
        <f t="shared" si="7"/>
        <v>56</v>
      </c>
      <c r="AG32" s="122">
        <f t="shared" si="8"/>
        <v>100</v>
      </c>
      <c r="AH32" s="122">
        <f t="shared" si="9"/>
        <v>56</v>
      </c>
    </row>
    <row r="33" spans="1:34" x14ac:dyDescent="0.25">
      <c r="A33" t="s">
        <v>30</v>
      </c>
      <c r="B33">
        <v>0.51712989807099996</v>
      </c>
      <c r="C33">
        <v>59.050918579099999</v>
      </c>
      <c r="I33" s="5"/>
      <c r="M33">
        <v>55.0791015625</v>
      </c>
      <c r="N33">
        <v>0.39093494415300001</v>
      </c>
      <c r="O33" s="79"/>
      <c r="P33">
        <v>55.0199050903</v>
      </c>
      <c r="Q33">
        <v>0.444412142038</v>
      </c>
      <c r="R33" s="79"/>
      <c r="S33">
        <v>54.924919128399999</v>
      </c>
      <c r="T33">
        <v>44.686771392799997</v>
      </c>
      <c r="U33" s="79"/>
      <c r="V33">
        <v>54.9307098389</v>
      </c>
      <c r="W33">
        <v>44.712066650399997</v>
      </c>
      <c r="Y33" s="79">
        <f t="shared" si="0"/>
        <v>2</v>
      </c>
      <c r="Z33" s="79">
        <f t="shared" si="1"/>
        <v>2</v>
      </c>
      <c r="AA33" s="122">
        <f t="shared" si="2"/>
        <v>55</v>
      </c>
      <c r="AB33" s="122">
        <f t="shared" si="3"/>
        <v>0</v>
      </c>
      <c r="AC33" s="122">
        <f t="shared" si="4"/>
        <v>55</v>
      </c>
      <c r="AD33" s="122">
        <f t="shared" si="5"/>
        <v>0</v>
      </c>
      <c r="AE33" s="122">
        <f t="shared" si="6"/>
        <v>54</v>
      </c>
      <c r="AF33" s="122">
        <f t="shared" si="7"/>
        <v>44</v>
      </c>
      <c r="AG33" s="122">
        <f t="shared" si="8"/>
        <v>54</v>
      </c>
      <c r="AH33" s="122">
        <f t="shared" si="9"/>
        <v>44</v>
      </c>
    </row>
    <row r="34" spans="1:34" x14ac:dyDescent="0.25">
      <c r="A34" t="s">
        <v>31</v>
      </c>
      <c r="B34">
        <v>51.566291809100001</v>
      </c>
      <c r="C34">
        <v>17.8658256531</v>
      </c>
      <c r="I34" s="5"/>
      <c r="M34">
        <v>51.225852966300003</v>
      </c>
      <c r="N34">
        <v>0.38788318634000002</v>
      </c>
      <c r="O34" s="79"/>
      <c r="P34">
        <v>51.185844421399999</v>
      </c>
      <c r="Q34">
        <v>0.44121980667100003</v>
      </c>
      <c r="R34" s="79"/>
      <c r="S34">
        <v>51.128124237100003</v>
      </c>
      <c r="T34">
        <v>9.1418743133499998</v>
      </c>
      <c r="U34" s="79"/>
      <c r="V34">
        <v>100.00601196300001</v>
      </c>
      <c r="W34">
        <v>9.1426372528099993</v>
      </c>
      <c r="Y34" s="79">
        <f t="shared" si="0"/>
        <v>2</v>
      </c>
      <c r="Z34" s="79">
        <f t="shared" si="1"/>
        <v>2</v>
      </c>
      <c r="AA34" s="122">
        <f t="shared" si="2"/>
        <v>51</v>
      </c>
      <c r="AB34" s="122">
        <f t="shared" si="3"/>
        <v>0</v>
      </c>
      <c r="AC34" s="122">
        <f t="shared" si="4"/>
        <v>51</v>
      </c>
      <c r="AD34" s="122">
        <f t="shared" si="5"/>
        <v>0</v>
      </c>
      <c r="AE34" s="122">
        <f t="shared" si="6"/>
        <v>51</v>
      </c>
      <c r="AF34" s="122">
        <f t="shared" si="7"/>
        <v>9</v>
      </c>
      <c r="AG34" s="122">
        <f t="shared" si="8"/>
        <v>100</v>
      </c>
      <c r="AH34" s="122">
        <f t="shared" si="9"/>
        <v>9</v>
      </c>
    </row>
    <row r="35" spans="1:34" x14ac:dyDescent="0.25">
      <c r="A35" t="s">
        <v>32</v>
      </c>
      <c r="B35">
        <v>48.962997436499997</v>
      </c>
      <c r="C35">
        <v>55.184410095200001</v>
      </c>
      <c r="I35" s="5"/>
      <c r="M35">
        <v>48.4373817444</v>
      </c>
      <c r="N35">
        <v>0.385689735413</v>
      </c>
      <c r="O35" s="79"/>
      <c r="P35">
        <v>48.402141571000001</v>
      </c>
      <c r="Q35">
        <v>0.43930715322500002</v>
      </c>
      <c r="R35" s="79"/>
      <c r="S35">
        <v>48.353622436499997</v>
      </c>
      <c r="T35">
        <v>53.935096740699997</v>
      </c>
      <c r="U35" s="79"/>
      <c r="V35">
        <v>100.006774902</v>
      </c>
      <c r="W35">
        <v>53.902030944800003</v>
      </c>
      <c r="Y35" s="79">
        <f t="shared" si="0"/>
        <v>2</v>
      </c>
      <c r="Z35" s="79">
        <f t="shared" si="1"/>
        <v>2</v>
      </c>
      <c r="AA35" s="122">
        <f t="shared" si="2"/>
        <v>48</v>
      </c>
      <c r="AB35" s="122">
        <f t="shared" si="3"/>
        <v>0</v>
      </c>
      <c r="AC35" s="122">
        <f t="shared" si="4"/>
        <v>48</v>
      </c>
      <c r="AD35" s="122">
        <f t="shared" si="5"/>
        <v>0</v>
      </c>
      <c r="AE35" s="122">
        <f t="shared" si="6"/>
        <v>48</v>
      </c>
      <c r="AF35" s="122">
        <f t="shared" si="7"/>
        <v>53</v>
      </c>
      <c r="AG35" s="122">
        <f t="shared" si="8"/>
        <v>100</v>
      </c>
      <c r="AH35" s="122">
        <f t="shared" si="9"/>
        <v>53</v>
      </c>
    </row>
    <row r="36" spans="1:34" x14ac:dyDescent="0.25">
      <c r="A36" t="s">
        <v>33</v>
      </c>
      <c r="B36">
        <v>47.819519043</v>
      </c>
      <c r="C36">
        <v>50.332904815699997</v>
      </c>
      <c r="I36" s="5"/>
      <c r="M36">
        <v>48.008705139200003</v>
      </c>
      <c r="N36">
        <v>0.38630962371799998</v>
      </c>
      <c r="O36" s="79"/>
      <c r="P36">
        <v>47.973323821999998</v>
      </c>
      <c r="Q36">
        <v>0.43955436348900001</v>
      </c>
      <c r="R36" s="79"/>
      <c r="S36">
        <v>47.925281524699997</v>
      </c>
      <c r="T36">
        <v>48.064086914100002</v>
      </c>
      <c r="U36" s="79"/>
      <c r="V36">
        <v>47.925331115699997</v>
      </c>
      <c r="W36">
        <v>48.050262451199998</v>
      </c>
      <c r="Y36" s="79">
        <f t="shared" si="0"/>
        <v>2</v>
      </c>
      <c r="Z36" s="79">
        <f t="shared" si="1"/>
        <v>2</v>
      </c>
      <c r="AA36" s="122">
        <f t="shared" si="2"/>
        <v>48</v>
      </c>
      <c r="AB36" s="122">
        <f t="shared" si="3"/>
        <v>0</v>
      </c>
      <c r="AC36" s="122">
        <f t="shared" si="4"/>
        <v>47</v>
      </c>
      <c r="AD36" s="122">
        <f t="shared" si="5"/>
        <v>0</v>
      </c>
      <c r="AE36" s="122">
        <f t="shared" si="6"/>
        <v>47</v>
      </c>
      <c r="AF36" s="122">
        <f t="shared" si="7"/>
        <v>48</v>
      </c>
      <c r="AG36" s="122">
        <f t="shared" si="8"/>
        <v>47</v>
      </c>
      <c r="AH36" s="122">
        <f t="shared" si="9"/>
        <v>48</v>
      </c>
    </row>
    <row r="37" spans="1:34" x14ac:dyDescent="0.25">
      <c r="A37" t="s">
        <v>34</v>
      </c>
      <c r="B37">
        <v>51.451538085899998</v>
      </c>
      <c r="C37">
        <v>47.561336517299999</v>
      </c>
      <c r="I37" s="5"/>
      <c r="M37">
        <v>49.831153869600001</v>
      </c>
      <c r="N37">
        <v>0.391745567322</v>
      </c>
      <c r="O37" s="79"/>
      <c r="P37">
        <v>49.788402557399998</v>
      </c>
      <c r="Q37">
        <v>0.445478975773</v>
      </c>
      <c r="R37" s="79"/>
      <c r="S37">
        <v>49.718570709200002</v>
      </c>
      <c r="T37">
        <v>46.939064025900002</v>
      </c>
      <c r="U37" s="79"/>
      <c r="V37">
        <v>49.704025268599999</v>
      </c>
      <c r="W37">
        <v>46.770931243900002</v>
      </c>
      <c r="Y37" s="79">
        <f t="shared" si="0"/>
        <v>2</v>
      </c>
      <c r="Z37" s="79">
        <f t="shared" si="1"/>
        <v>2</v>
      </c>
      <c r="AA37" s="122">
        <f t="shared" si="2"/>
        <v>49</v>
      </c>
      <c r="AB37" s="122">
        <f t="shared" si="3"/>
        <v>0</v>
      </c>
      <c r="AC37" s="122">
        <f t="shared" si="4"/>
        <v>49</v>
      </c>
      <c r="AD37" s="122">
        <f t="shared" si="5"/>
        <v>0</v>
      </c>
      <c r="AE37" s="122">
        <f t="shared" si="6"/>
        <v>49</v>
      </c>
      <c r="AF37" s="122">
        <f t="shared" si="7"/>
        <v>46</v>
      </c>
      <c r="AG37" s="122">
        <f t="shared" si="8"/>
        <v>49</v>
      </c>
      <c r="AH37" s="122">
        <f t="shared" si="9"/>
        <v>46</v>
      </c>
    </row>
    <row r="38" spans="1:34" x14ac:dyDescent="0.25">
      <c r="A38" t="s">
        <v>35</v>
      </c>
      <c r="B38">
        <v>57.204795837399999</v>
      </c>
      <c r="C38">
        <v>50.3304977417</v>
      </c>
      <c r="I38" s="5"/>
      <c r="M38">
        <v>56.128120422400002</v>
      </c>
      <c r="N38">
        <v>0.39167404174800002</v>
      </c>
      <c r="O38" s="79"/>
      <c r="P38">
        <v>56.075168609599999</v>
      </c>
      <c r="Q38">
        <v>0.44546997547099998</v>
      </c>
      <c r="R38" s="79"/>
      <c r="S38">
        <v>55.988216400100001</v>
      </c>
      <c r="T38">
        <v>49.833847045900001</v>
      </c>
      <c r="U38" s="79"/>
      <c r="V38">
        <v>55.972576141399998</v>
      </c>
      <c r="W38">
        <v>49.617149353000002</v>
      </c>
      <c r="Y38" s="79">
        <f t="shared" si="0"/>
        <v>2</v>
      </c>
      <c r="Z38" s="79">
        <f t="shared" si="1"/>
        <v>2</v>
      </c>
      <c r="AA38" s="122">
        <f t="shared" si="2"/>
        <v>56</v>
      </c>
      <c r="AB38" s="122">
        <f t="shared" si="3"/>
        <v>0</v>
      </c>
      <c r="AC38" s="122">
        <f t="shared" si="4"/>
        <v>56</v>
      </c>
      <c r="AD38" s="122">
        <f t="shared" si="5"/>
        <v>0</v>
      </c>
      <c r="AE38" s="122">
        <f t="shared" si="6"/>
        <v>55</v>
      </c>
      <c r="AF38" s="122">
        <f t="shared" si="7"/>
        <v>49</v>
      </c>
      <c r="AG38" s="122">
        <f t="shared" si="8"/>
        <v>55</v>
      </c>
      <c r="AH38" s="122">
        <f t="shared" si="9"/>
        <v>49</v>
      </c>
    </row>
    <row r="39" spans="1:34" x14ac:dyDescent="0.25">
      <c r="A39" t="s">
        <v>36</v>
      </c>
      <c r="B39">
        <v>58.412624359100001</v>
      </c>
      <c r="C39">
        <v>55.214500427200001</v>
      </c>
      <c r="I39" s="5"/>
      <c r="M39">
        <v>8.6326122283900002</v>
      </c>
      <c r="N39">
        <v>0.39508342742899999</v>
      </c>
      <c r="O39" s="79"/>
      <c r="P39">
        <v>8.6335420608500009</v>
      </c>
      <c r="Q39">
        <v>0.44820165634199999</v>
      </c>
      <c r="R39" s="79"/>
      <c r="S39">
        <v>8.6324930191</v>
      </c>
      <c r="T39">
        <v>53.722953796399999</v>
      </c>
      <c r="U39" s="79"/>
      <c r="V39">
        <v>8.6373090743999992</v>
      </c>
      <c r="W39">
        <v>53.695392608600002</v>
      </c>
      <c r="Y39" s="79">
        <f t="shared" si="0"/>
        <v>2</v>
      </c>
      <c r="Z39" s="79">
        <f t="shared" si="1"/>
        <v>2</v>
      </c>
      <c r="AA39" s="122">
        <f t="shared" si="2"/>
        <v>8</v>
      </c>
      <c r="AB39" s="122">
        <f t="shared" si="3"/>
        <v>0</v>
      </c>
      <c r="AC39" s="122">
        <f t="shared" si="4"/>
        <v>8</v>
      </c>
      <c r="AD39" s="122">
        <f t="shared" si="5"/>
        <v>0</v>
      </c>
      <c r="AE39" s="122">
        <f t="shared" si="6"/>
        <v>8</v>
      </c>
      <c r="AF39" s="122">
        <f t="shared" si="7"/>
        <v>53</v>
      </c>
      <c r="AG39" s="122">
        <f t="shared" si="8"/>
        <v>8</v>
      </c>
      <c r="AH39" s="122">
        <f t="shared" si="9"/>
        <v>53</v>
      </c>
    </row>
    <row r="40" spans="1:34" x14ac:dyDescent="0.25">
      <c r="A40" t="s">
        <v>37</v>
      </c>
      <c r="B40">
        <v>57.644104003899997</v>
      </c>
      <c r="C40">
        <v>56.607318878199997</v>
      </c>
      <c r="I40" s="5"/>
      <c r="M40">
        <v>29.7349205017</v>
      </c>
      <c r="N40">
        <v>0.39532184600800002</v>
      </c>
      <c r="O40" s="79"/>
      <c r="P40">
        <v>29.797649383500001</v>
      </c>
      <c r="Q40">
        <v>0.449038147926</v>
      </c>
      <c r="R40" s="79"/>
      <c r="S40">
        <v>29.814481735200001</v>
      </c>
      <c r="T40">
        <v>47.623107910199998</v>
      </c>
      <c r="U40" s="79"/>
      <c r="V40">
        <v>4.3845176696799999E-2</v>
      </c>
      <c r="W40">
        <v>47.683452606199999</v>
      </c>
      <c r="Y40" s="79">
        <f t="shared" si="0"/>
        <v>2</v>
      </c>
      <c r="Z40" s="79">
        <f t="shared" si="1"/>
        <v>2</v>
      </c>
      <c r="AA40" s="122">
        <f t="shared" si="2"/>
        <v>29</v>
      </c>
      <c r="AB40" s="122">
        <f t="shared" si="3"/>
        <v>0</v>
      </c>
      <c r="AC40" s="122">
        <f t="shared" si="4"/>
        <v>29</v>
      </c>
      <c r="AD40" s="122">
        <f t="shared" si="5"/>
        <v>0</v>
      </c>
      <c r="AE40" s="122">
        <f t="shared" si="6"/>
        <v>29</v>
      </c>
      <c r="AF40" s="122">
        <f t="shared" si="7"/>
        <v>47</v>
      </c>
      <c r="AG40" s="122">
        <f t="shared" si="8"/>
        <v>0</v>
      </c>
      <c r="AH40" s="122">
        <f t="shared" si="9"/>
        <v>47</v>
      </c>
    </row>
    <row r="41" spans="1:34" x14ac:dyDescent="0.25">
      <c r="A41" t="s">
        <v>38</v>
      </c>
      <c r="B41">
        <v>56.287693023700001</v>
      </c>
      <c r="C41">
        <v>56.132362365699997</v>
      </c>
      <c r="I41" s="5"/>
      <c r="M41">
        <v>19.170331955000002</v>
      </c>
      <c r="N41">
        <v>0.39594173431399998</v>
      </c>
      <c r="O41" s="79"/>
      <c r="P41">
        <v>19.180250167800001</v>
      </c>
      <c r="Q41">
        <v>0.45030164718600002</v>
      </c>
      <c r="R41" s="79"/>
      <c r="S41">
        <v>19.182443618800001</v>
      </c>
      <c r="T41">
        <v>10.6295585632</v>
      </c>
      <c r="U41" s="79"/>
      <c r="V41">
        <v>100.00629425</v>
      </c>
      <c r="W41">
        <v>10.6334447861</v>
      </c>
      <c r="Y41" s="79">
        <f t="shared" si="0"/>
        <v>2</v>
      </c>
      <c r="Z41" s="79">
        <f t="shared" si="1"/>
        <v>2</v>
      </c>
      <c r="AA41" s="122">
        <f t="shared" si="2"/>
        <v>19</v>
      </c>
      <c r="AB41" s="122">
        <f t="shared" si="3"/>
        <v>0</v>
      </c>
      <c r="AC41" s="122">
        <f t="shared" si="4"/>
        <v>19</v>
      </c>
      <c r="AD41" s="122">
        <f t="shared" si="5"/>
        <v>0</v>
      </c>
      <c r="AE41" s="122">
        <f t="shared" si="6"/>
        <v>19</v>
      </c>
      <c r="AF41" s="122">
        <f t="shared" si="7"/>
        <v>10</v>
      </c>
      <c r="AG41" s="122">
        <f t="shared" si="8"/>
        <v>100</v>
      </c>
      <c r="AH41" s="122">
        <f t="shared" si="9"/>
        <v>10</v>
      </c>
    </row>
    <row r="42" spans="1:34" x14ac:dyDescent="0.25">
      <c r="A42" t="s">
        <v>39</v>
      </c>
      <c r="B42">
        <v>45.966934204099999</v>
      </c>
      <c r="C42">
        <v>57.171558380100002</v>
      </c>
      <c r="I42" s="5"/>
      <c r="M42">
        <v>52.923847198499999</v>
      </c>
      <c r="N42">
        <v>0.39274692535400002</v>
      </c>
      <c r="O42" s="79"/>
      <c r="P42">
        <v>52.8807868958</v>
      </c>
      <c r="Q42">
        <v>0.44648528099099999</v>
      </c>
      <c r="R42" s="79"/>
      <c r="S42">
        <v>52.779815673800002</v>
      </c>
      <c r="T42">
        <v>7.9257726669300004</v>
      </c>
      <c r="U42" s="79"/>
      <c r="V42">
        <v>100.00655365</v>
      </c>
      <c r="W42">
        <v>8.0429553985600002</v>
      </c>
      <c r="Y42" s="79">
        <f t="shared" si="0"/>
        <v>2</v>
      </c>
      <c r="Z42" s="79">
        <f t="shared" si="1"/>
        <v>0</v>
      </c>
      <c r="AA42" s="122">
        <f t="shared" si="2"/>
        <v>52</v>
      </c>
      <c r="AB42" s="122">
        <f t="shared" si="3"/>
        <v>0</v>
      </c>
      <c r="AC42" s="122">
        <f t="shared" si="4"/>
        <v>52</v>
      </c>
      <c r="AD42" s="122">
        <f t="shared" si="5"/>
        <v>0</v>
      </c>
      <c r="AE42" s="122">
        <f t="shared" si="6"/>
        <v>52</v>
      </c>
      <c r="AF42" s="122">
        <f t="shared" si="7"/>
        <v>7</v>
      </c>
      <c r="AG42" s="122">
        <f t="shared" si="8"/>
        <v>100</v>
      </c>
      <c r="AH42" s="122">
        <f t="shared" si="9"/>
        <v>8</v>
      </c>
    </row>
    <row r="43" spans="1:34" x14ac:dyDescent="0.25">
      <c r="A43" t="s">
        <v>40</v>
      </c>
      <c r="B43">
        <v>55.739402771000002</v>
      </c>
      <c r="C43">
        <v>58.3974838257</v>
      </c>
      <c r="I43" s="5"/>
      <c r="M43">
        <v>56.9588661194</v>
      </c>
      <c r="N43">
        <v>0.39141178131100002</v>
      </c>
      <c r="O43" s="79"/>
      <c r="P43">
        <v>56.902458190899999</v>
      </c>
      <c r="Q43">
        <v>0.44461572170300001</v>
      </c>
      <c r="R43" s="79"/>
      <c r="S43">
        <v>56.8171272278</v>
      </c>
      <c r="T43">
        <v>56.534194946299998</v>
      </c>
      <c r="U43" s="79"/>
      <c r="V43">
        <v>100.00650787399999</v>
      </c>
      <c r="W43">
        <v>56.502319335899998</v>
      </c>
      <c r="Y43" s="79">
        <f t="shared" si="0"/>
        <v>2</v>
      </c>
      <c r="Z43" s="79">
        <f t="shared" si="1"/>
        <v>3</v>
      </c>
      <c r="AA43" s="122">
        <f t="shared" si="2"/>
        <v>56</v>
      </c>
      <c r="AB43" s="122">
        <f t="shared" si="3"/>
        <v>0</v>
      </c>
      <c r="AC43" s="122">
        <f t="shared" si="4"/>
        <v>56</v>
      </c>
      <c r="AD43" s="122">
        <f t="shared" si="5"/>
        <v>0</v>
      </c>
      <c r="AE43" s="122">
        <f t="shared" si="6"/>
        <v>56</v>
      </c>
      <c r="AF43" s="122">
        <f t="shared" si="7"/>
        <v>56</v>
      </c>
      <c r="AG43" s="122">
        <f t="shared" si="8"/>
        <v>100</v>
      </c>
      <c r="AH43" s="122">
        <f t="shared" si="9"/>
        <v>56</v>
      </c>
    </row>
    <row r="44" spans="1:34" x14ac:dyDescent="0.25">
      <c r="A44" t="s">
        <v>41</v>
      </c>
      <c r="B44">
        <v>55.354927062999998</v>
      </c>
      <c r="C44">
        <v>17.504644393900001</v>
      </c>
      <c r="I44" s="5"/>
      <c r="M44">
        <v>55.1664123535</v>
      </c>
      <c r="N44">
        <v>0.39074420928999998</v>
      </c>
      <c r="O44" s="79"/>
      <c r="P44">
        <v>55.109310150100001</v>
      </c>
      <c r="Q44">
        <v>0.44468405842800002</v>
      </c>
      <c r="R44" s="79"/>
      <c r="S44">
        <v>55.015541076700003</v>
      </c>
      <c r="T44">
        <v>8.8457584381099998</v>
      </c>
      <c r="U44" s="79"/>
      <c r="V44">
        <v>55.031990051299999</v>
      </c>
      <c r="W44">
        <v>8.84902477264</v>
      </c>
      <c r="Y44" s="79">
        <f t="shared" si="0"/>
        <v>2</v>
      </c>
      <c r="Z44" s="79">
        <f t="shared" si="1"/>
        <v>2</v>
      </c>
      <c r="AA44" s="122">
        <f t="shared" si="2"/>
        <v>55</v>
      </c>
      <c r="AB44" s="122">
        <f t="shared" si="3"/>
        <v>0</v>
      </c>
      <c r="AC44" s="122">
        <f t="shared" si="4"/>
        <v>55</v>
      </c>
      <c r="AD44" s="122">
        <f t="shared" si="5"/>
        <v>0</v>
      </c>
      <c r="AE44" s="122">
        <f t="shared" si="6"/>
        <v>55</v>
      </c>
      <c r="AF44" s="122">
        <f t="shared" si="7"/>
        <v>8</v>
      </c>
      <c r="AG44" s="122">
        <f t="shared" si="8"/>
        <v>55</v>
      </c>
      <c r="AH44" s="122">
        <f t="shared" si="9"/>
        <v>8</v>
      </c>
    </row>
    <row r="45" spans="1:34" x14ac:dyDescent="0.25">
      <c r="A45" t="s">
        <v>42</v>
      </c>
      <c r="B45">
        <v>51.029014587399999</v>
      </c>
      <c r="C45">
        <v>57.952190399199999</v>
      </c>
      <c r="I45" s="5"/>
      <c r="M45">
        <v>50.902175903299998</v>
      </c>
      <c r="N45">
        <v>0.38983821868899998</v>
      </c>
      <c r="O45" s="79"/>
      <c r="P45">
        <v>50.856544494600001</v>
      </c>
      <c r="Q45">
        <v>0.44369316101099998</v>
      </c>
      <c r="R45" s="79"/>
      <c r="S45">
        <v>50.787353515600003</v>
      </c>
      <c r="T45">
        <v>55.393959045400003</v>
      </c>
      <c r="U45" s="79"/>
      <c r="V45">
        <v>50.785350799600003</v>
      </c>
      <c r="W45">
        <v>55.353691101099997</v>
      </c>
      <c r="Y45" s="79">
        <f t="shared" si="0"/>
        <v>2</v>
      </c>
      <c r="Z45" s="79">
        <f t="shared" si="1"/>
        <v>2</v>
      </c>
      <c r="AA45" s="122">
        <f t="shared" si="2"/>
        <v>50</v>
      </c>
      <c r="AB45" s="122">
        <f t="shared" si="3"/>
        <v>0</v>
      </c>
      <c r="AC45" s="122">
        <f t="shared" si="4"/>
        <v>50</v>
      </c>
      <c r="AD45" s="122">
        <f t="shared" si="5"/>
        <v>0</v>
      </c>
      <c r="AE45" s="122">
        <f t="shared" si="6"/>
        <v>50</v>
      </c>
      <c r="AF45" s="122">
        <f t="shared" si="7"/>
        <v>55</v>
      </c>
      <c r="AG45" s="122">
        <f t="shared" si="8"/>
        <v>50</v>
      </c>
      <c r="AH45" s="122">
        <f t="shared" si="9"/>
        <v>55</v>
      </c>
    </row>
    <row r="46" spans="1:34" x14ac:dyDescent="0.25">
      <c r="A46" t="s">
        <v>43</v>
      </c>
      <c r="B46">
        <v>48.209072112999998</v>
      </c>
      <c r="C46">
        <v>52.292297363300001</v>
      </c>
      <c r="I46" s="5"/>
      <c r="M46">
        <v>48.445533752400003</v>
      </c>
      <c r="N46">
        <v>0.38905143737800002</v>
      </c>
      <c r="O46" s="79"/>
      <c r="P46">
        <v>48.408626556400002</v>
      </c>
      <c r="Q46">
        <v>0.44230189919500001</v>
      </c>
      <c r="R46" s="79"/>
      <c r="S46">
        <v>48.367954254200001</v>
      </c>
      <c r="T46">
        <v>50.634479522699998</v>
      </c>
      <c r="U46" s="79"/>
      <c r="V46">
        <v>48.387218475300003</v>
      </c>
      <c r="W46">
        <v>50.510261535600002</v>
      </c>
      <c r="Y46" s="79">
        <f t="shared" si="0"/>
        <v>2</v>
      </c>
      <c r="Z46" s="79">
        <f t="shared" si="1"/>
        <v>2</v>
      </c>
      <c r="AA46" s="122">
        <f t="shared" si="2"/>
        <v>48</v>
      </c>
      <c r="AB46" s="122">
        <f t="shared" si="3"/>
        <v>0</v>
      </c>
      <c r="AC46" s="122">
        <f t="shared" si="4"/>
        <v>48</v>
      </c>
      <c r="AD46" s="122">
        <f t="shared" si="5"/>
        <v>0</v>
      </c>
      <c r="AE46" s="122">
        <f t="shared" si="6"/>
        <v>48</v>
      </c>
      <c r="AF46" s="122">
        <f t="shared" si="7"/>
        <v>50</v>
      </c>
      <c r="AG46" s="122">
        <f t="shared" si="8"/>
        <v>48</v>
      </c>
      <c r="AH46" s="122">
        <f t="shared" si="9"/>
        <v>50</v>
      </c>
    </row>
    <row r="47" spans="1:34" x14ac:dyDescent="0.25">
      <c r="A47" t="s">
        <v>44</v>
      </c>
      <c r="B47">
        <v>52.6460876465</v>
      </c>
      <c r="C47">
        <v>49.248527526899998</v>
      </c>
      <c r="I47" s="5"/>
      <c r="M47">
        <v>52.587486267099997</v>
      </c>
      <c r="N47">
        <v>0.38998126983600001</v>
      </c>
      <c r="O47" s="79"/>
      <c r="P47">
        <v>52.543376922599997</v>
      </c>
      <c r="Q47">
        <v>0.44366782903700003</v>
      </c>
      <c r="R47" s="79"/>
      <c r="S47">
        <v>52.473068237299998</v>
      </c>
      <c r="T47">
        <v>48.0863113403</v>
      </c>
      <c r="U47" s="79"/>
      <c r="V47">
        <v>52.4753799438</v>
      </c>
      <c r="W47">
        <v>48.075412750200002</v>
      </c>
      <c r="Y47" s="79">
        <f t="shared" si="0"/>
        <v>2</v>
      </c>
      <c r="Z47" s="79">
        <f t="shared" si="1"/>
        <v>2</v>
      </c>
      <c r="AA47" s="122">
        <f t="shared" si="2"/>
        <v>52</v>
      </c>
      <c r="AB47" s="122">
        <f t="shared" si="3"/>
        <v>0</v>
      </c>
      <c r="AC47" s="122">
        <f t="shared" si="4"/>
        <v>52</v>
      </c>
      <c r="AD47" s="122">
        <f t="shared" si="5"/>
        <v>0</v>
      </c>
      <c r="AE47" s="122">
        <f t="shared" si="6"/>
        <v>52</v>
      </c>
      <c r="AF47" s="122">
        <f t="shared" si="7"/>
        <v>48</v>
      </c>
      <c r="AG47" s="122">
        <f t="shared" si="8"/>
        <v>52</v>
      </c>
      <c r="AH47" s="122">
        <f t="shared" si="9"/>
        <v>48</v>
      </c>
    </row>
    <row r="48" spans="1:34" x14ac:dyDescent="0.25">
      <c r="A48" t="s">
        <v>45</v>
      </c>
      <c r="B48">
        <v>58.4632415771</v>
      </c>
      <c r="C48">
        <v>52.818466186499997</v>
      </c>
      <c r="I48" s="5"/>
      <c r="M48">
        <v>58.412647247300001</v>
      </c>
      <c r="N48">
        <v>0.39081573486299997</v>
      </c>
      <c r="O48" s="79"/>
      <c r="P48">
        <v>58.354640960700003</v>
      </c>
      <c r="Q48">
        <v>0.443718731403</v>
      </c>
      <c r="R48" s="79"/>
      <c r="S48">
        <v>58.258747100800001</v>
      </c>
      <c r="T48">
        <v>51.750328064000001</v>
      </c>
      <c r="U48" s="79"/>
      <c r="V48">
        <v>100.00705719</v>
      </c>
      <c r="W48">
        <v>51.733993530299998</v>
      </c>
      <c r="Y48" s="79">
        <f t="shared" si="0"/>
        <v>2</v>
      </c>
      <c r="Z48" s="79">
        <f t="shared" si="1"/>
        <v>2</v>
      </c>
      <c r="AA48" s="122">
        <f t="shared" si="2"/>
        <v>58</v>
      </c>
      <c r="AB48" s="122">
        <f t="shared" si="3"/>
        <v>0</v>
      </c>
      <c r="AC48" s="122">
        <f t="shared" si="4"/>
        <v>58</v>
      </c>
      <c r="AD48" s="122">
        <f t="shared" si="5"/>
        <v>0</v>
      </c>
      <c r="AE48" s="122">
        <f t="shared" si="6"/>
        <v>58</v>
      </c>
      <c r="AF48" s="122">
        <f t="shared" si="7"/>
        <v>51</v>
      </c>
      <c r="AG48" s="122">
        <f t="shared" si="8"/>
        <v>100</v>
      </c>
      <c r="AH48" s="122">
        <f t="shared" si="9"/>
        <v>51</v>
      </c>
    </row>
    <row r="49" spans="1:34" x14ac:dyDescent="0.25">
      <c r="A49" t="s">
        <v>46</v>
      </c>
      <c r="B49">
        <v>58.1044197083</v>
      </c>
      <c r="C49">
        <v>56.780887603799997</v>
      </c>
      <c r="I49" s="5"/>
      <c r="M49">
        <v>58.684967041</v>
      </c>
      <c r="N49">
        <v>0.39117336273199999</v>
      </c>
      <c r="O49" s="79"/>
      <c r="P49">
        <v>58.633659362800003</v>
      </c>
      <c r="Q49">
        <v>0.44359046220800002</v>
      </c>
      <c r="R49" s="79"/>
      <c r="S49">
        <v>58.539939880399999</v>
      </c>
      <c r="T49">
        <v>55.319931030299998</v>
      </c>
      <c r="U49" s="79"/>
      <c r="V49">
        <v>58.534767150900002</v>
      </c>
      <c r="W49">
        <v>55.277061462399999</v>
      </c>
      <c r="Y49" s="79">
        <f t="shared" si="0"/>
        <v>2</v>
      </c>
      <c r="Z49" s="79">
        <f t="shared" si="1"/>
        <v>2</v>
      </c>
      <c r="AA49" s="122">
        <f t="shared" si="2"/>
        <v>58</v>
      </c>
      <c r="AB49" s="122">
        <f t="shared" si="3"/>
        <v>0</v>
      </c>
      <c r="AC49" s="122">
        <f t="shared" si="4"/>
        <v>58</v>
      </c>
      <c r="AD49" s="122">
        <f t="shared" si="5"/>
        <v>0</v>
      </c>
      <c r="AE49" s="122">
        <f t="shared" si="6"/>
        <v>58</v>
      </c>
      <c r="AF49" s="122">
        <f t="shared" si="7"/>
        <v>55</v>
      </c>
      <c r="AG49" s="122">
        <f t="shared" si="8"/>
        <v>58</v>
      </c>
      <c r="AH49" s="122">
        <f t="shared" si="9"/>
        <v>55</v>
      </c>
    </row>
    <row r="50" spans="1:34" x14ac:dyDescent="0.25">
      <c r="A50" t="s">
        <v>47</v>
      </c>
      <c r="B50">
        <v>57.010387420699999</v>
      </c>
      <c r="C50">
        <v>55.569911956799999</v>
      </c>
      <c r="I50" s="5"/>
      <c r="M50">
        <v>47.1999168396</v>
      </c>
      <c r="N50">
        <v>0.39393901824999999</v>
      </c>
      <c r="O50" s="79"/>
      <c r="P50">
        <v>47.1521606445</v>
      </c>
      <c r="Q50">
        <v>0.44779887795399997</v>
      </c>
      <c r="R50" s="79"/>
      <c r="S50">
        <v>47.034309387199997</v>
      </c>
      <c r="T50">
        <v>42.141487121600001</v>
      </c>
      <c r="U50" s="79"/>
      <c r="V50">
        <v>100.00667572</v>
      </c>
      <c r="W50">
        <v>42.158031463599997</v>
      </c>
      <c r="Y50" s="79">
        <f t="shared" si="0"/>
        <v>2</v>
      </c>
      <c r="Z50" s="79">
        <f t="shared" si="1"/>
        <v>2</v>
      </c>
      <c r="AA50" s="122">
        <f t="shared" si="2"/>
        <v>47</v>
      </c>
      <c r="AB50" s="122">
        <f t="shared" si="3"/>
        <v>0</v>
      </c>
      <c r="AC50" s="122">
        <f t="shared" si="4"/>
        <v>47</v>
      </c>
      <c r="AD50" s="122">
        <f t="shared" si="5"/>
        <v>0</v>
      </c>
      <c r="AE50" s="122">
        <f t="shared" si="6"/>
        <v>47</v>
      </c>
      <c r="AF50" s="122">
        <f t="shared" si="7"/>
        <v>42</v>
      </c>
      <c r="AG50" s="122">
        <f t="shared" si="8"/>
        <v>100</v>
      </c>
      <c r="AH50" s="122">
        <f t="shared" si="9"/>
        <v>42</v>
      </c>
    </row>
    <row r="51" spans="1:34" x14ac:dyDescent="0.25">
      <c r="A51" t="s">
        <v>48</v>
      </c>
      <c r="B51">
        <v>55.4432868958</v>
      </c>
      <c r="C51">
        <v>56.151081085199998</v>
      </c>
      <c r="I51" s="5"/>
      <c r="M51">
        <v>25.6719112396</v>
      </c>
      <c r="N51">
        <v>0.39558410644500003</v>
      </c>
      <c r="O51" s="79"/>
      <c r="P51">
        <v>25.677585601800001</v>
      </c>
      <c r="Q51">
        <v>0.44907078146899998</v>
      </c>
      <c r="R51" s="79"/>
      <c r="S51">
        <v>25.660873413099999</v>
      </c>
      <c r="T51">
        <v>53.522991180399998</v>
      </c>
      <c r="U51" s="79"/>
      <c r="V51">
        <v>25.704406738300001</v>
      </c>
      <c r="W51">
        <v>53.4827461243</v>
      </c>
      <c r="Y51" s="79">
        <f t="shared" si="0"/>
        <v>2</v>
      </c>
      <c r="Z51" s="79">
        <f t="shared" si="1"/>
        <v>2</v>
      </c>
      <c r="AA51" s="122">
        <f t="shared" si="2"/>
        <v>25</v>
      </c>
      <c r="AB51" s="122">
        <f t="shared" si="3"/>
        <v>0</v>
      </c>
      <c r="AC51" s="122">
        <f t="shared" si="4"/>
        <v>25</v>
      </c>
      <c r="AD51" s="122">
        <f t="shared" si="5"/>
        <v>0</v>
      </c>
      <c r="AE51" s="122">
        <f t="shared" si="6"/>
        <v>25</v>
      </c>
      <c r="AF51" s="122">
        <f t="shared" si="7"/>
        <v>53</v>
      </c>
      <c r="AG51" s="122">
        <f t="shared" si="8"/>
        <v>25</v>
      </c>
      <c r="AH51" s="122">
        <f t="shared" si="9"/>
        <v>53</v>
      </c>
    </row>
    <row r="52" spans="1:34" x14ac:dyDescent="0.25">
      <c r="A52" t="s">
        <v>49</v>
      </c>
      <c r="B52">
        <v>49.864696502699999</v>
      </c>
      <c r="C52">
        <v>9.59634780884E-2</v>
      </c>
      <c r="I52" s="5"/>
      <c r="M52">
        <v>47.084068298299997</v>
      </c>
      <c r="N52">
        <v>0.394153594971</v>
      </c>
      <c r="O52" s="79"/>
      <c r="P52">
        <v>47.036647796600001</v>
      </c>
      <c r="Q52">
        <v>0.44833660125699998</v>
      </c>
      <c r="R52" s="79"/>
      <c r="S52">
        <v>46.881530761699999</v>
      </c>
      <c r="T52">
        <v>54.160999298100002</v>
      </c>
      <c r="U52" s="79"/>
      <c r="V52">
        <v>100.006362915</v>
      </c>
      <c r="W52">
        <v>54.151081085199998</v>
      </c>
      <c r="Y52" s="79">
        <f t="shared" si="0"/>
        <v>2</v>
      </c>
      <c r="Z52" s="79">
        <f t="shared" si="1"/>
        <v>2</v>
      </c>
      <c r="AA52" s="122">
        <f t="shared" si="2"/>
        <v>47</v>
      </c>
      <c r="AB52" s="122">
        <f t="shared" si="3"/>
        <v>0</v>
      </c>
      <c r="AC52" s="122">
        <f t="shared" si="4"/>
        <v>47</v>
      </c>
      <c r="AD52" s="122">
        <f t="shared" si="5"/>
        <v>0</v>
      </c>
      <c r="AE52" s="122">
        <f t="shared" si="6"/>
        <v>46</v>
      </c>
      <c r="AF52" s="122">
        <f t="shared" si="7"/>
        <v>54</v>
      </c>
      <c r="AG52" s="122">
        <f t="shared" si="8"/>
        <v>100</v>
      </c>
      <c r="AH52" s="122">
        <f t="shared" si="9"/>
        <v>54</v>
      </c>
    </row>
    <row r="53" spans="1:34" x14ac:dyDescent="0.25">
      <c r="A53" t="s">
        <v>50</v>
      </c>
      <c r="B53">
        <v>56.140754699699997</v>
      </c>
      <c r="C53">
        <v>57.471130371100003</v>
      </c>
      <c r="I53" s="5"/>
      <c r="M53">
        <v>55.824184417700003</v>
      </c>
      <c r="N53">
        <v>0.39160251617399999</v>
      </c>
      <c r="O53" s="79"/>
      <c r="P53">
        <v>55.728767394999998</v>
      </c>
      <c r="Q53">
        <v>0.44471675157500001</v>
      </c>
      <c r="R53" s="79"/>
      <c r="S53">
        <v>55.569171905499999</v>
      </c>
      <c r="T53">
        <v>55.267642974899999</v>
      </c>
      <c r="U53" s="79"/>
      <c r="V53">
        <v>100.006225586</v>
      </c>
      <c r="W53">
        <v>55.236793518100001</v>
      </c>
      <c r="Y53" s="79">
        <f t="shared" si="0"/>
        <v>2</v>
      </c>
      <c r="Z53" s="79">
        <f t="shared" si="1"/>
        <v>3</v>
      </c>
      <c r="AA53" s="122">
        <f t="shared" si="2"/>
        <v>55</v>
      </c>
      <c r="AB53" s="122">
        <f t="shared" si="3"/>
        <v>0</v>
      </c>
      <c r="AC53" s="122">
        <f t="shared" si="4"/>
        <v>55</v>
      </c>
      <c r="AD53" s="122">
        <f t="shared" si="5"/>
        <v>0</v>
      </c>
      <c r="AE53" s="122">
        <f t="shared" si="6"/>
        <v>55</v>
      </c>
      <c r="AF53" s="122">
        <f t="shared" si="7"/>
        <v>55</v>
      </c>
      <c r="AG53" s="122">
        <f t="shared" si="8"/>
        <v>100</v>
      </c>
      <c r="AH53" s="122">
        <f t="shared" si="9"/>
        <v>55</v>
      </c>
    </row>
    <row r="54" spans="1:34" x14ac:dyDescent="0.25">
      <c r="A54" t="s">
        <v>51</v>
      </c>
      <c r="B54">
        <v>56.457805633500001</v>
      </c>
      <c r="C54">
        <v>58.746505737299998</v>
      </c>
      <c r="I54" s="5"/>
      <c r="M54">
        <v>56.927871704099999</v>
      </c>
      <c r="N54">
        <v>0.39031505584699999</v>
      </c>
      <c r="O54" s="79"/>
      <c r="P54">
        <v>56.863571167000003</v>
      </c>
      <c r="Q54">
        <v>0.44412761926700001</v>
      </c>
      <c r="R54" s="79"/>
      <c r="S54">
        <v>56.760169982900003</v>
      </c>
      <c r="T54">
        <v>57.011817932100001</v>
      </c>
      <c r="U54" s="79"/>
      <c r="V54">
        <v>100.006652832</v>
      </c>
      <c r="W54">
        <v>56.958412170400003</v>
      </c>
      <c r="Y54" s="79">
        <f t="shared" si="0"/>
        <v>2</v>
      </c>
      <c r="Z54" s="79">
        <f t="shared" si="1"/>
        <v>2</v>
      </c>
      <c r="AA54" s="122">
        <f t="shared" si="2"/>
        <v>56</v>
      </c>
      <c r="AB54" s="122">
        <f t="shared" si="3"/>
        <v>0</v>
      </c>
      <c r="AC54" s="122">
        <f t="shared" si="4"/>
        <v>56</v>
      </c>
      <c r="AD54" s="122">
        <f t="shared" si="5"/>
        <v>0</v>
      </c>
      <c r="AE54" s="122">
        <f t="shared" si="6"/>
        <v>56</v>
      </c>
      <c r="AF54" s="122">
        <f t="shared" si="7"/>
        <v>57</v>
      </c>
      <c r="AG54" s="122">
        <f t="shared" si="8"/>
        <v>100</v>
      </c>
      <c r="AH54" s="122">
        <f t="shared" si="9"/>
        <v>56</v>
      </c>
    </row>
    <row r="55" spans="1:34" x14ac:dyDescent="0.25">
      <c r="A55" t="s">
        <v>52</v>
      </c>
      <c r="B55">
        <v>53.447723388699998</v>
      </c>
      <c r="C55">
        <v>59.026432037399999</v>
      </c>
      <c r="I55" s="5"/>
      <c r="M55">
        <v>53.292274475100001</v>
      </c>
      <c r="N55">
        <v>0.390720367432</v>
      </c>
      <c r="O55" s="79"/>
      <c r="P55">
        <v>53.245567321800003</v>
      </c>
      <c r="Q55">
        <v>0.44423842430100002</v>
      </c>
      <c r="R55" s="79"/>
      <c r="S55">
        <v>53.168441772500003</v>
      </c>
      <c r="T55">
        <v>56.612705230700001</v>
      </c>
      <c r="U55" s="79"/>
      <c r="V55">
        <v>53.166843414299997</v>
      </c>
      <c r="W55">
        <v>56.578422546399999</v>
      </c>
      <c r="Y55" s="79">
        <f t="shared" si="0"/>
        <v>2</v>
      </c>
      <c r="Z55" s="79">
        <f t="shared" si="1"/>
        <v>2</v>
      </c>
      <c r="AA55" s="122">
        <f t="shared" si="2"/>
        <v>53</v>
      </c>
      <c r="AB55" s="122">
        <f t="shared" si="3"/>
        <v>0</v>
      </c>
      <c r="AC55" s="122">
        <f t="shared" si="4"/>
        <v>53</v>
      </c>
      <c r="AD55" s="122">
        <f t="shared" si="5"/>
        <v>0</v>
      </c>
      <c r="AE55" s="122">
        <f t="shared" si="6"/>
        <v>53</v>
      </c>
      <c r="AF55" s="122">
        <f t="shared" si="7"/>
        <v>56</v>
      </c>
      <c r="AG55" s="122">
        <f t="shared" si="8"/>
        <v>53</v>
      </c>
      <c r="AH55" s="122">
        <f t="shared" si="9"/>
        <v>56</v>
      </c>
    </row>
    <row r="56" spans="1:34" x14ac:dyDescent="0.25">
      <c r="A56" t="s">
        <v>53</v>
      </c>
      <c r="B56">
        <v>49.686622619600001</v>
      </c>
      <c r="C56">
        <v>53.209949493400003</v>
      </c>
      <c r="I56" s="5"/>
      <c r="M56">
        <v>50.090503692600002</v>
      </c>
      <c r="N56">
        <v>0.39074420928999998</v>
      </c>
      <c r="O56" s="79"/>
      <c r="P56">
        <v>50.036716461200001</v>
      </c>
      <c r="Q56">
        <v>0.44364929199199998</v>
      </c>
      <c r="R56" s="79"/>
      <c r="S56">
        <v>49.968647003199997</v>
      </c>
      <c r="T56">
        <v>52.698280334499998</v>
      </c>
      <c r="U56" s="79"/>
      <c r="V56">
        <v>100.00579071</v>
      </c>
      <c r="W56">
        <v>52.672721862800003</v>
      </c>
      <c r="Y56" s="79">
        <f t="shared" si="0"/>
        <v>2</v>
      </c>
      <c r="Z56" s="79">
        <f t="shared" si="1"/>
        <v>2</v>
      </c>
      <c r="AA56" s="122">
        <f t="shared" si="2"/>
        <v>50</v>
      </c>
      <c r="AB56" s="122">
        <f t="shared" si="3"/>
        <v>0</v>
      </c>
      <c r="AC56" s="122">
        <f t="shared" si="4"/>
        <v>50</v>
      </c>
      <c r="AD56" s="122">
        <f t="shared" si="5"/>
        <v>0</v>
      </c>
      <c r="AE56" s="122">
        <f t="shared" si="6"/>
        <v>49</v>
      </c>
      <c r="AF56" s="122">
        <f t="shared" si="7"/>
        <v>52</v>
      </c>
      <c r="AG56" s="122">
        <f t="shared" si="8"/>
        <v>100</v>
      </c>
      <c r="AH56" s="122">
        <f t="shared" si="9"/>
        <v>52</v>
      </c>
    </row>
    <row r="57" spans="1:34" x14ac:dyDescent="0.25">
      <c r="A57" t="s">
        <v>54</v>
      </c>
      <c r="B57">
        <v>52.197074890099998</v>
      </c>
      <c r="C57">
        <v>51.2733917236</v>
      </c>
      <c r="I57" s="5"/>
      <c r="M57">
        <v>37.599300384499998</v>
      </c>
      <c r="N57">
        <v>0.391530990601</v>
      </c>
      <c r="O57" s="79"/>
      <c r="P57">
        <v>37.589027404799999</v>
      </c>
      <c r="Q57">
        <v>0.44475042819999999</v>
      </c>
      <c r="R57" s="79"/>
      <c r="S57">
        <v>37.518524169899997</v>
      </c>
      <c r="T57">
        <v>49.584293365500002</v>
      </c>
      <c r="U57" s="79"/>
      <c r="V57">
        <v>37.582851409900002</v>
      </c>
      <c r="W57">
        <v>49.561096191399997</v>
      </c>
      <c r="Y57" s="79">
        <f t="shared" si="0"/>
        <v>2</v>
      </c>
      <c r="Z57" s="79">
        <f t="shared" si="1"/>
        <v>2</v>
      </c>
      <c r="AA57" s="122">
        <f t="shared" si="2"/>
        <v>37</v>
      </c>
      <c r="AB57" s="122">
        <f t="shared" si="3"/>
        <v>0</v>
      </c>
      <c r="AC57" s="122">
        <f t="shared" si="4"/>
        <v>37</v>
      </c>
      <c r="AD57" s="122">
        <f t="shared" si="5"/>
        <v>0</v>
      </c>
      <c r="AE57" s="122">
        <f t="shared" si="6"/>
        <v>37</v>
      </c>
      <c r="AF57" s="122">
        <f t="shared" si="7"/>
        <v>49</v>
      </c>
      <c r="AG57" s="122">
        <f t="shared" si="8"/>
        <v>37</v>
      </c>
      <c r="AH57" s="122">
        <f t="shared" si="9"/>
        <v>49</v>
      </c>
    </row>
    <row r="58" spans="1:34" x14ac:dyDescent="0.25">
      <c r="A58" t="s">
        <v>55</v>
      </c>
      <c r="B58">
        <v>57.370185852100001</v>
      </c>
      <c r="C58">
        <v>56.2555084229</v>
      </c>
      <c r="I58" s="5"/>
      <c r="M58">
        <v>57.842327117899998</v>
      </c>
      <c r="N58">
        <v>0.388216972351</v>
      </c>
      <c r="O58" s="79"/>
      <c r="P58">
        <v>57.784889221199997</v>
      </c>
      <c r="Q58">
        <v>0.44174572825399999</v>
      </c>
      <c r="R58" s="79"/>
      <c r="S58">
        <v>57.69140625</v>
      </c>
      <c r="T58">
        <v>54.625820159900002</v>
      </c>
      <c r="U58" s="79"/>
      <c r="V58">
        <v>57.680583953899998</v>
      </c>
      <c r="W58">
        <v>54.298995971700002</v>
      </c>
      <c r="Y58" s="79">
        <f t="shared" si="0"/>
        <v>2</v>
      </c>
      <c r="Z58" s="79">
        <f t="shared" si="1"/>
        <v>2</v>
      </c>
      <c r="AA58" s="122">
        <f t="shared" si="2"/>
        <v>57</v>
      </c>
      <c r="AB58" s="122">
        <f t="shared" si="3"/>
        <v>0</v>
      </c>
      <c r="AC58" s="122">
        <f t="shared" si="4"/>
        <v>57</v>
      </c>
      <c r="AD58" s="122">
        <f t="shared" si="5"/>
        <v>0</v>
      </c>
      <c r="AE58" s="122">
        <f t="shared" si="6"/>
        <v>57</v>
      </c>
      <c r="AF58" s="122">
        <f t="shared" si="7"/>
        <v>54</v>
      </c>
      <c r="AG58" s="122">
        <f t="shared" si="8"/>
        <v>57</v>
      </c>
      <c r="AH58" s="122">
        <f t="shared" si="9"/>
        <v>54</v>
      </c>
    </row>
    <row r="59" spans="1:34" x14ac:dyDescent="0.25">
      <c r="A59" t="s">
        <v>56</v>
      </c>
      <c r="B59">
        <v>58.407234191900002</v>
      </c>
      <c r="C59">
        <v>3.6787033081099998</v>
      </c>
      <c r="I59" s="5"/>
      <c r="M59">
        <v>58.610916137700002</v>
      </c>
      <c r="N59">
        <v>0.37889480590800001</v>
      </c>
      <c r="O59" s="79"/>
      <c r="P59">
        <v>58.543563842799998</v>
      </c>
      <c r="Q59">
        <v>0.43113413453100002</v>
      </c>
      <c r="R59" s="79"/>
      <c r="S59">
        <v>58.443687439000001</v>
      </c>
      <c r="T59">
        <v>1.9701719284100001</v>
      </c>
      <c r="U59" s="79"/>
      <c r="V59">
        <v>75.201538085899998</v>
      </c>
      <c r="W59">
        <v>1.9672632217399999</v>
      </c>
      <c r="Y59" s="79">
        <f t="shared" si="0"/>
        <v>2</v>
      </c>
      <c r="Z59" s="79">
        <f t="shared" si="1"/>
        <v>2</v>
      </c>
      <c r="AA59" s="122">
        <f t="shared" si="2"/>
        <v>58</v>
      </c>
      <c r="AB59" s="122">
        <f t="shared" si="3"/>
        <v>0</v>
      </c>
      <c r="AC59" s="122">
        <f t="shared" si="4"/>
        <v>58</v>
      </c>
      <c r="AD59" s="122">
        <f t="shared" si="5"/>
        <v>0</v>
      </c>
      <c r="AE59" s="122">
        <f t="shared" si="6"/>
        <v>58</v>
      </c>
      <c r="AF59" s="122">
        <f t="shared" si="7"/>
        <v>1</v>
      </c>
      <c r="AG59" s="122">
        <f t="shared" si="8"/>
        <v>75</v>
      </c>
      <c r="AH59" s="122">
        <f t="shared" si="9"/>
        <v>1</v>
      </c>
    </row>
    <row r="60" spans="1:34" x14ac:dyDescent="0.25">
      <c r="A60" t="s">
        <v>57</v>
      </c>
      <c r="B60">
        <v>57.0726165771</v>
      </c>
      <c r="C60">
        <v>57.0216674805</v>
      </c>
      <c r="I60" s="5"/>
      <c r="M60">
        <v>53.384326934800001</v>
      </c>
      <c r="N60">
        <v>0.39026737213099999</v>
      </c>
      <c r="O60" s="79"/>
      <c r="P60">
        <v>53.312969207800002</v>
      </c>
      <c r="Q60">
        <v>0.44368308782600002</v>
      </c>
      <c r="R60" s="79"/>
      <c r="S60">
        <v>53.161693573000001</v>
      </c>
      <c r="T60">
        <v>52.2554855347</v>
      </c>
      <c r="U60" s="79"/>
      <c r="V60">
        <v>100.00627136200001</v>
      </c>
      <c r="W60">
        <v>52.292297363300001</v>
      </c>
      <c r="Y60" s="79">
        <f t="shared" si="0"/>
        <v>2</v>
      </c>
      <c r="Z60" s="79">
        <f t="shared" si="1"/>
        <v>2</v>
      </c>
      <c r="AA60" s="122">
        <f t="shared" si="2"/>
        <v>53</v>
      </c>
      <c r="AB60" s="122">
        <f t="shared" si="3"/>
        <v>0</v>
      </c>
      <c r="AC60" s="122">
        <f t="shared" si="4"/>
        <v>53</v>
      </c>
      <c r="AD60" s="122">
        <f t="shared" si="5"/>
        <v>0</v>
      </c>
      <c r="AE60" s="122">
        <f t="shared" si="6"/>
        <v>53</v>
      </c>
      <c r="AF60" s="122">
        <f t="shared" si="7"/>
        <v>52</v>
      </c>
      <c r="AG60" s="122">
        <f t="shared" si="8"/>
        <v>100</v>
      </c>
      <c r="AH60" s="122">
        <f t="shared" si="9"/>
        <v>52</v>
      </c>
    </row>
    <row r="61" spans="1:34" x14ac:dyDescent="0.25">
      <c r="A61" t="s">
        <v>58</v>
      </c>
      <c r="B61">
        <v>51.3203125</v>
      </c>
      <c r="C61">
        <v>56.011318206799999</v>
      </c>
      <c r="I61" s="5"/>
      <c r="M61">
        <v>34.315063476600002</v>
      </c>
      <c r="N61">
        <v>0.394320487976</v>
      </c>
      <c r="O61" s="79"/>
      <c r="P61">
        <v>34.319664001500001</v>
      </c>
      <c r="Q61">
        <v>0.44825866818400001</v>
      </c>
      <c r="R61" s="79"/>
      <c r="S61">
        <v>34.246253967299999</v>
      </c>
      <c r="T61">
        <v>19.542455673199999</v>
      </c>
      <c r="U61" s="79"/>
      <c r="V61">
        <v>100.006774902</v>
      </c>
      <c r="W61">
        <v>19.8815116882</v>
      </c>
      <c r="Y61" s="79">
        <f t="shared" si="0"/>
        <v>2</v>
      </c>
      <c r="Z61" s="79">
        <f t="shared" si="1"/>
        <v>2</v>
      </c>
      <c r="AA61" s="122">
        <f t="shared" si="2"/>
        <v>34</v>
      </c>
      <c r="AB61" s="122">
        <f t="shared" si="3"/>
        <v>0</v>
      </c>
      <c r="AC61" s="122">
        <f t="shared" si="4"/>
        <v>34</v>
      </c>
      <c r="AD61" s="122">
        <f t="shared" si="5"/>
        <v>0</v>
      </c>
      <c r="AE61" s="122">
        <f t="shared" si="6"/>
        <v>34</v>
      </c>
      <c r="AF61" s="122">
        <f t="shared" si="7"/>
        <v>19</v>
      </c>
      <c r="AG61" s="122">
        <f t="shared" si="8"/>
        <v>100</v>
      </c>
      <c r="AH61" s="122">
        <f t="shared" si="9"/>
        <v>19</v>
      </c>
    </row>
    <row r="62" spans="1:34" x14ac:dyDescent="0.25">
      <c r="A62" t="s">
        <v>59</v>
      </c>
      <c r="B62">
        <v>33.286643981899999</v>
      </c>
      <c r="C62">
        <v>56.116889953600001</v>
      </c>
      <c r="I62" s="5"/>
      <c r="M62">
        <v>40.506698608400001</v>
      </c>
      <c r="N62">
        <v>0.39455890655499998</v>
      </c>
      <c r="O62" s="79"/>
      <c r="P62">
        <v>40.477252960199998</v>
      </c>
      <c r="Q62">
        <v>0.44816467165899998</v>
      </c>
      <c r="R62" s="79"/>
      <c r="S62">
        <v>40.4128799438</v>
      </c>
      <c r="T62">
        <v>55.414508819600002</v>
      </c>
      <c r="U62" s="79"/>
      <c r="V62">
        <v>100.00655365</v>
      </c>
      <c r="W62">
        <v>55.300666809100001</v>
      </c>
      <c r="Y62" s="79">
        <f t="shared" si="0"/>
        <v>2</v>
      </c>
      <c r="Z62" s="79">
        <f t="shared" si="1"/>
        <v>2</v>
      </c>
      <c r="AA62" s="122">
        <f t="shared" si="2"/>
        <v>40</v>
      </c>
      <c r="AB62" s="122">
        <f t="shared" si="3"/>
        <v>0</v>
      </c>
      <c r="AC62" s="122">
        <f t="shared" si="4"/>
        <v>40</v>
      </c>
      <c r="AD62" s="122">
        <f t="shared" si="5"/>
        <v>0</v>
      </c>
      <c r="AE62" s="122">
        <f t="shared" si="6"/>
        <v>40</v>
      </c>
      <c r="AF62" s="122">
        <f t="shared" si="7"/>
        <v>55</v>
      </c>
      <c r="AG62" s="122">
        <f t="shared" si="8"/>
        <v>100</v>
      </c>
      <c r="AH62" s="122">
        <f t="shared" si="9"/>
        <v>55</v>
      </c>
    </row>
    <row r="63" spans="1:34" x14ac:dyDescent="0.25">
      <c r="A63" t="s">
        <v>60</v>
      </c>
      <c r="B63">
        <v>56.603790283199999</v>
      </c>
      <c r="C63">
        <v>57.320499420200001</v>
      </c>
      <c r="I63" s="5"/>
      <c r="M63">
        <v>54.225112914999997</v>
      </c>
      <c r="N63">
        <v>0.390672683716</v>
      </c>
      <c r="O63" s="79"/>
      <c r="P63">
        <v>54.138301849400001</v>
      </c>
      <c r="Q63">
        <v>0.44480103254300002</v>
      </c>
      <c r="R63" s="79"/>
      <c r="S63">
        <v>53.952861785899998</v>
      </c>
      <c r="T63">
        <v>56.1532249451</v>
      </c>
      <c r="U63" s="79"/>
      <c r="V63">
        <v>100.00629425</v>
      </c>
      <c r="W63">
        <v>56.1034698486</v>
      </c>
      <c r="Y63" s="79">
        <f t="shared" si="0"/>
        <v>2</v>
      </c>
      <c r="Z63" s="79">
        <f t="shared" si="1"/>
        <v>2</v>
      </c>
      <c r="AA63" s="122">
        <f t="shared" si="2"/>
        <v>54</v>
      </c>
      <c r="AB63" s="122">
        <f t="shared" si="3"/>
        <v>0</v>
      </c>
      <c r="AC63" s="122">
        <f t="shared" si="4"/>
        <v>54</v>
      </c>
      <c r="AD63" s="122">
        <f t="shared" si="5"/>
        <v>0</v>
      </c>
      <c r="AE63" s="122">
        <f t="shared" si="6"/>
        <v>53</v>
      </c>
      <c r="AF63" s="122">
        <f t="shared" si="7"/>
        <v>56</v>
      </c>
      <c r="AG63" s="122">
        <f t="shared" si="8"/>
        <v>100</v>
      </c>
      <c r="AH63" s="122">
        <f t="shared" si="9"/>
        <v>56</v>
      </c>
    </row>
    <row r="64" spans="1:34" x14ac:dyDescent="0.25">
      <c r="A64" t="s">
        <v>61</v>
      </c>
      <c r="B64">
        <v>10.660672187799999</v>
      </c>
      <c r="C64">
        <v>58.812950134300003</v>
      </c>
      <c r="I64" s="5"/>
      <c r="M64">
        <v>9.3460559844999995</v>
      </c>
      <c r="N64">
        <v>0.39122104644799999</v>
      </c>
      <c r="O64" s="79"/>
      <c r="P64">
        <v>9.3522310257000001</v>
      </c>
      <c r="Q64">
        <v>0.44510868191699998</v>
      </c>
      <c r="R64" s="79"/>
      <c r="S64">
        <v>9.3446016311599998</v>
      </c>
      <c r="T64">
        <v>50.013015747099999</v>
      </c>
      <c r="U64" s="79"/>
      <c r="V64">
        <v>9.3500375747700009</v>
      </c>
      <c r="W64">
        <v>50.016166687000002</v>
      </c>
      <c r="Y64" s="79">
        <f t="shared" si="0"/>
        <v>2</v>
      </c>
      <c r="Z64" s="79">
        <f t="shared" si="1"/>
        <v>2</v>
      </c>
      <c r="AA64" s="122">
        <f t="shared" si="2"/>
        <v>9</v>
      </c>
      <c r="AB64" s="122">
        <f t="shared" si="3"/>
        <v>0</v>
      </c>
      <c r="AC64" s="122">
        <f t="shared" si="4"/>
        <v>9</v>
      </c>
      <c r="AD64" s="122">
        <f t="shared" si="5"/>
        <v>0</v>
      </c>
      <c r="AE64" s="122">
        <f t="shared" si="6"/>
        <v>9</v>
      </c>
      <c r="AF64" s="122">
        <f t="shared" si="7"/>
        <v>50</v>
      </c>
      <c r="AG64" s="122">
        <f t="shared" si="8"/>
        <v>9</v>
      </c>
      <c r="AH64" s="122">
        <f t="shared" si="9"/>
        <v>50</v>
      </c>
    </row>
    <row r="65" spans="1:34" x14ac:dyDescent="0.25">
      <c r="A65" t="s">
        <v>62</v>
      </c>
      <c r="B65">
        <v>56.408645629900001</v>
      </c>
      <c r="C65">
        <v>58.839775085399999</v>
      </c>
      <c r="I65" s="5"/>
      <c r="M65">
        <v>56.681800842299999</v>
      </c>
      <c r="N65">
        <v>0.388264656067</v>
      </c>
      <c r="O65" s="79"/>
      <c r="P65">
        <v>56.621433258099998</v>
      </c>
      <c r="Q65">
        <v>0.44118151068700001</v>
      </c>
      <c r="R65" s="79"/>
      <c r="S65">
        <v>56.539798736599998</v>
      </c>
      <c r="T65">
        <v>49.113178253199997</v>
      </c>
      <c r="U65" s="79"/>
      <c r="V65">
        <v>56.559635162399999</v>
      </c>
      <c r="W65">
        <v>49.230075836200001</v>
      </c>
      <c r="Y65" s="79">
        <f t="shared" si="0"/>
        <v>2</v>
      </c>
      <c r="Z65" s="79">
        <f t="shared" si="1"/>
        <v>2</v>
      </c>
      <c r="AA65" s="122">
        <f t="shared" si="2"/>
        <v>56</v>
      </c>
      <c r="AB65" s="122">
        <f t="shared" si="3"/>
        <v>0</v>
      </c>
      <c r="AC65" s="122">
        <f t="shared" si="4"/>
        <v>56</v>
      </c>
      <c r="AD65" s="122">
        <f t="shared" si="5"/>
        <v>0</v>
      </c>
      <c r="AE65" s="122">
        <f t="shared" si="6"/>
        <v>56</v>
      </c>
      <c r="AF65" s="122">
        <f t="shared" si="7"/>
        <v>49</v>
      </c>
      <c r="AG65" s="122">
        <f t="shared" si="8"/>
        <v>56</v>
      </c>
      <c r="AH65" s="122">
        <f t="shared" si="9"/>
        <v>49</v>
      </c>
    </row>
    <row r="66" spans="1:34" x14ac:dyDescent="0.25">
      <c r="A66" t="s">
        <v>63</v>
      </c>
      <c r="B66">
        <v>52.041267394999998</v>
      </c>
      <c r="C66">
        <v>53.586982727100001</v>
      </c>
      <c r="I66" s="5"/>
      <c r="M66">
        <v>52.411987304699998</v>
      </c>
      <c r="N66">
        <v>0.38876533508299999</v>
      </c>
      <c r="O66" s="79"/>
      <c r="P66">
        <v>52.366565704300001</v>
      </c>
      <c r="Q66">
        <v>0.44236785173400001</v>
      </c>
      <c r="R66" s="79"/>
      <c r="S66">
        <v>52.317905426000003</v>
      </c>
      <c r="T66">
        <v>51.545097351099997</v>
      </c>
      <c r="U66" s="79"/>
      <c r="V66">
        <v>52.313541412399999</v>
      </c>
      <c r="W66">
        <v>51.509857177699999</v>
      </c>
      <c r="Y66" s="79">
        <f t="shared" si="0"/>
        <v>2</v>
      </c>
      <c r="Z66" s="79">
        <f t="shared" si="1"/>
        <v>2</v>
      </c>
      <c r="AA66" s="122">
        <f t="shared" si="2"/>
        <v>52</v>
      </c>
      <c r="AB66" s="122">
        <f t="shared" si="3"/>
        <v>0</v>
      </c>
      <c r="AC66" s="122">
        <f t="shared" si="4"/>
        <v>52</v>
      </c>
      <c r="AD66" s="122">
        <f t="shared" si="5"/>
        <v>0</v>
      </c>
      <c r="AE66" s="122">
        <f t="shared" si="6"/>
        <v>52</v>
      </c>
      <c r="AF66" s="122">
        <f t="shared" si="7"/>
        <v>51</v>
      </c>
      <c r="AG66" s="122">
        <f t="shared" si="8"/>
        <v>52</v>
      </c>
      <c r="AH66" s="122">
        <f t="shared" si="9"/>
        <v>51</v>
      </c>
    </row>
    <row r="67" spans="1:34" x14ac:dyDescent="0.25">
      <c r="A67" t="s">
        <v>64</v>
      </c>
      <c r="B67">
        <v>51.428676605200003</v>
      </c>
      <c r="C67">
        <v>51.867771148700001</v>
      </c>
      <c r="I67" s="5"/>
      <c r="M67">
        <v>37.608646392799997</v>
      </c>
      <c r="N67">
        <v>0.38995742797900002</v>
      </c>
      <c r="O67" s="79"/>
      <c r="P67">
        <v>37.5816345215</v>
      </c>
      <c r="Q67">
        <v>0.44331556558599999</v>
      </c>
      <c r="R67" s="79"/>
      <c r="S67">
        <v>37.520004272500003</v>
      </c>
      <c r="T67">
        <v>12.4815702438</v>
      </c>
      <c r="U67" s="79"/>
      <c r="V67">
        <v>37.546657562299998</v>
      </c>
      <c r="W67">
        <v>100.010368347</v>
      </c>
      <c r="Y67" s="79">
        <f t="shared" si="0"/>
        <v>2</v>
      </c>
      <c r="Z67" s="79">
        <f t="shared" si="1"/>
        <v>2</v>
      </c>
      <c r="AA67" s="122">
        <f t="shared" si="2"/>
        <v>37</v>
      </c>
      <c r="AB67" s="122">
        <f t="shared" si="3"/>
        <v>0</v>
      </c>
      <c r="AC67" s="122">
        <f t="shared" si="4"/>
        <v>37</v>
      </c>
      <c r="AD67" s="122">
        <f t="shared" si="5"/>
        <v>0</v>
      </c>
      <c r="AE67" s="122">
        <f t="shared" si="6"/>
        <v>37</v>
      </c>
      <c r="AF67" s="122">
        <f t="shared" si="7"/>
        <v>12</v>
      </c>
      <c r="AG67" s="122">
        <f t="shared" si="8"/>
        <v>37</v>
      </c>
      <c r="AH67" s="122">
        <f t="shared" si="9"/>
        <v>100</v>
      </c>
    </row>
    <row r="68" spans="1:34" x14ac:dyDescent="0.25">
      <c r="A68" t="s">
        <v>65</v>
      </c>
      <c r="B68">
        <v>55.601547241200002</v>
      </c>
      <c r="C68">
        <v>57.570480346700002</v>
      </c>
      <c r="I68" s="5"/>
      <c r="M68">
        <v>54.942775726299999</v>
      </c>
      <c r="N68">
        <v>0.38411617279100002</v>
      </c>
      <c r="O68" s="79"/>
      <c r="P68">
        <v>54.890846252400003</v>
      </c>
      <c r="Q68">
        <v>0.43722000718100001</v>
      </c>
      <c r="R68" s="79"/>
      <c r="S68">
        <v>54.814506530800003</v>
      </c>
      <c r="T68">
        <v>54.040622711200001</v>
      </c>
      <c r="U68" s="79"/>
      <c r="V68">
        <v>54.807113647500003</v>
      </c>
      <c r="W68">
        <v>54.004646301299999</v>
      </c>
      <c r="Y68" s="79">
        <f t="shared" ref="Y68:Y90" si="10">COUNTIF(AA68:AD68,_xlfn.MODE.SNGL(AA68,AB68,AC68,AD68))</f>
        <v>2</v>
      </c>
      <c r="Z68" s="79">
        <f t="shared" ref="Z68:Z90" si="11">COUNTIF(AE68:AH68,_xlfn.MODE.SNGL(AE68,AF68,AG68,AH68))</f>
        <v>4</v>
      </c>
      <c r="AA68" s="122">
        <f t="shared" ref="AA68:AA90" si="12">QUOTIENT(M68,1)</f>
        <v>54</v>
      </c>
      <c r="AB68" s="122">
        <f t="shared" ref="AB68:AB90" si="13">QUOTIENT(N68,1)</f>
        <v>0</v>
      </c>
      <c r="AC68" s="122">
        <f t="shared" ref="AC68:AC90" si="14">QUOTIENT(P68,1)</f>
        <v>54</v>
      </c>
      <c r="AD68" s="122">
        <f t="shared" ref="AD68:AD90" si="15">QUOTIENT(Q68,1)</f>
        <v>0</v>
      </c>
      <c r="AE68" s="122">
        <f t="shared" ref="AE68:AE90" si="16">QUOTIENT(S68,1)</f>
        <v>54</v>
      </c>
      <c r="AF68" s="122">
        <f t="shared" ref="AF68:AF90" si="17">QUOTIENT(T68,1)</f>
        <v>54</v>
      </c>
      <c r="AG68" s="122">
        <f t="shared" ref="AG68:AG90" si="18">QUOTIENT(V68,1)</f>
        <v>54</v>
      </c>
      <c r="AH68" s="122">
        <f t="shared" ref="AH68:AH90" si="19">QUOTIENT(W68,1)</f>
        <v>54</v>
      </c>
    </row>
    <row r="69" spans="1:34" x14ac:dyDescent="0.25">
      <c r="A69" t="s">
        <v>66</v>
      </c>
      <c r="B69">
        <v>57.351375579799999</v>
      </c>
      <c r="C69">
        <v>57.074691772500003</v>
      </c>
      <c r="I69" s="5"/>
      <c r="M69">
        <v>57.707069396999998</v>
      </c>
      <c r="N69">
        <v>0.38230419158899998</v>
      </c>
      <c r="O69" s="79"/>
      <c r="P69">
        <v>57.642055511499997</v>
      </c>
      <c r="Q69">
        <v>0.43569150567100001</v>
      </c>
      <c r="R69" s="79"/>
      <c r="S69">
        <v>57.550834655800003</v>
      </c>
      <c r="T69">
        <v>55.885505676299999</v>
      </c>
      <c r="U69" s="79"/>
      <c r="V69">
        <v>100.006484985</v>
      </c>
      <c r="W69">
        <v>55.8583030701</v>
      </c>
      <c r="Y69" s="79">
        <f t="shared" si="10"/>
        <v>2</v>
      </c>
      <c r="Z69" s="79">
        <f t="shared" si="11"/>
        <v>2</v>
      </c>
      <c r="AA69" s="122">
        <f t="shared" si="12"/>
        <v>57</v>
      </c>
      <c r="AB69" s="122">
        <f t="shared" si="13"/>
        <v>0</v>
      </c>
      <c r="AC69" s="122">
        <f t="shared" si="14"/>
        <v>57</v>
      </c>
      <c r="AD69" s="122">
        <f t="shared" si="15"/>
        <v>0</v>
      </c>
      <c r="AE69" s="122">
        <f t="shared" si="16"/>
        <v>57</v>
      </c>
      <c r="AF69" s="122">
        <f t="shared" si="17"/>
        <v>55</v>
      </c>
      <c r="AG69" s="122">
        <f t="shared" si="18"/>
        <v>100</v>
      </c>
      <c r="AH69" s="122">
        <f t="shared" si="19"/>
        <v>55</v>
      </c>
    </row>
    <row r="70" spans="1:34" x14ac:dyDescent="0.25">
      <c r="A70" t="s">
        <v>67</v>
      </c>
      <c r="B70">
        <v>56.703353881799998</v>
      </c>
      <c r="C70">
        <v>57.8838348389</v>
      </c>
      <c r="I70" s="5"/>
      <c r="M70">
        <v>57.089210510299999</v>
      </c>
      <c r="N70">
        <v>0.38726329803499998</v>
      </c>
      <c r="O70" s="79"/>
      <c r="P70">
        <v>57.024074554400002</v>
      </c>
      <c r="Q70">
        <v>0.44014763832100001</v>
      </c>
      <c r="R70" s="79"/>
      <c r="S70">
        <v>56.946609497099999</v>
      </c>
      <c r="T70">
        <v>32.851791381799998</v>
      </c>
      <c r="U70" s="79"/>
      <c r="V70">
        <v>100.007225037</v>
      </c>
      <c r="W70">
        <v>32.886577606199999</v>
      </c>
      <c r="Y70" s="79">
        <f t="shared" si="10"/>
        <v>2</v>
      </c>
      <c r="Z70" s="79">
        <f t="shared" si="11"/>
        <v>2</v>
      </c>
      <c r="AA70" s="122">
        <f t="shared" si="12"/>
        <v>57</v>
      </c>
      <c r="AB70" s="122">
        <f t="shared" si="13"/>
        <v>0</v>
      </c>
      <c r="AC70" s="122">
        <f t="shared" si="14"/>
        <v>57</v>
      </c>
      <c r="AD70" s="122">
        <f t="shared" si="15"/>
        <v>0</v>
      </c>
      <c r="AE70" s="122">
        <f t="shared" si="16"/>
        <v>56</v>
      </c>
      <c r="AF70" s="122">
        <f t="shared" si="17"/>
        <v>32</v>
      </c>
      <c r="AG70" s="122">
        <f t="shared" si="18"/>
        <v>100</v>
      </c>
      <c r="AH70" s="122">
        <f t="shared" si="19"/>
        <v>32</v>
      </c>
    </row>
    <row r="71" spans="1:34" x14ac:dyDescent="0.25">
      <c r="A71" t="s">
        <v>68</v>
      </c>
      <c r="B71">
        <v>57.401062011699999</v>
      </c>
      <c r="C71">
        <v>57.862972259499998</v>
      </c>
      <c r="I71" s="5"/>
      <c r="M71">
        <v>57.710384368900002</v>
      </c>
      <c r="N71">
        <v>0.390529632568</v>
      </c>
      <c r="O71" s="79"/>
      <c r="P71">
        <v>57.639240264900003</v>
      </c>
      <c r="Q71">
        <v>0.44313549995399998</v>
      </c>
      <c r="R71" s="79"/>
      <c r="S71">
        <v>57.529163360600002</v>
      </c>
      <c r="T71">
        <v>55.317996978799997</v>
      </c>
      <c r="U71" s="79"/>
      <c r="V71">
        <v>100.006629944</v>
      </c>
      <c r="W71">
        <v>55.2744369507</v>
      </c>
      <c r="Y71" s="79">
        <f t="shared" si="10"/>
        <v>2</v>
      </c>
      <c r="Z71" s="79">
        <f t="shared" si="11"/>
        <v>2</v>
      </c>
      <c r="AA71" s="122">
        <f t="shared" si="12"/>
        <v>57</v>
      </c>
      <c r="AB71" s="122">
        <f t="shared" si="13"/>
        <v>0</v>
      </c>
      <c r="AC71" s="122">
        <f t="shared" si="14"/>
        <v>57</v>
      </c>
      <c r="AD71" s="122">
        <f t="shared" si="15"/>
        <v>0</v>
      </c>
      <c r="AE71" s="122">
        <f t="shared" si="16"/>
        <v>57</v>
      </c>
      <c r="AF71" s="122">
        <f t="shared" si="17"/>
        <v>55</v>
      </c>
      <c r="AG71" s="122">
        <f t="shared" si="18"/>
        <v>100</v>
      </c>
      <c r="AH71" s="122">
        <f t="shared" si="19"/>
        <v>55</v>
      </c>
    </row>
    <row r="72" spans="1:34" x14ac:dyDescent="0.25">
      <c r="A72" t="s">
        <v>69</v>
      </c>
      <c r="B72">
        <v>57.098556518599999</v>
      </c>
      <c r="C72">
        <v>57.956741332999997</v>
      </c>
      <c r="I72" s="5"/>
      <c r="M72">
        <v>57.767581939700001</v>
      </c>
      <c r="N72">
        <v>0.39002895355200001</v>
      </c>
      <c r="O72" s="79"/>
      <c r="P72">
        <v>57.687068939200003</v>
      </c>
      <c r="Q72">
        <v>0.442682623863</v>
      </c>
      <c r="R72" s="79"/>
      <c r="S72">
        <v>57.561347961400003</v>
      </c>
      <c r="T72">
        <v>56.102226257300003</v>
      </c>
      <c r="U72" s="79"/>
      <c r="V72">
        <v>100.00627136200001</v>
      </c>
      <c r="W72">
        <v>56.044315338099999</v>
      </c>
      <c r="Y72" s="79">
        <f t="shared" si="10"/>
        <v>2</v>
      </c>
      <c r="Z72" s="79">
        <f t="shared" si="11"/>
        <v>2</v>
      </c>
      <c r="AA72" s="122">
        <f t="shared" si="12"/>
        <v>57</v>
      </c>
      <c r="AB72" s="122">
        <f t="shared" si="13"/>
        <v>0</v>
      </c>
      <c r="AC72" s="122">
        <f t="shared" si="14"/>
        <v>57</v>
      </c>
      <c r="AD72" s="122">
        <f t="shared" si="15"/>
        <v>0</v>
      </c>
      <c r="AE72" s="122">
        <f t="shared" si="16"/>
        <v>57</v>
      </c>
      <c r="AF72" s="122">
        <f t="shared" si="17"/>
        <v>56</v>
      </c>
      <c r="AG72" s="122">
        <f t="shared" si="18"/>
        <v>100</v>
      </c>
      <c r="AH72" s="122">
        <f t="shared" si="19"/>
        <v>56</v>
      </c>
    </row>
    <row r="73" spans="1:34" x14ac:dyDescent="0.25">
      <c r="A73" t="s">
        <v>70</v>
      </c>
      <c r="B73">
        <v>57.751846313500003</v>
      </c>
      <c r="C73">
        <v>55.610298156699997</v>
      </c>
      <c r="I73" s="5"/>
      <c r="M73">
        <v>58.454940795900001</v>
      </c>
      <c r="N73">
        <v>0.18780231475799999</v>
      </c>
      <c r="O73" s="79"/>
      <c r="P73">
        <v>58.380390167199998</v>
      </c>
      <c r="Q73">
        <v>0.22164121270199999</v>
      </c>
      <c r="R73" s="79"/>
      <c r="S73">
        <v>58.2941513062</v>
      </c>
      <c r="T73">
        <v>0.224637985229</v>
      </c>
      <c r="U73" s="79"/>
      <c r="V73">
        <v>58.306217193599998</v>
      </c>
      <c r="W73">
        <v>0.227189064026</v>
      </c>
      <c r="Y73" s="79">
        <f t="shared" si="10"/>
        <v>2</v>
      </c>
      <c r="Z73" s="79">
        <f t="shared" si="11"/>
        <v>2</v>
      </c>
      <c r="AA73" s="122">
        <f t="shared" si="12"/>
        <v>58</v>
      </c>
      <c r="AB73" s="122">
        <f t="shared" si="13"/>
        <v>0</v>
      </c>
      <c r="AC73" s="122">
        <f t="shared" si="14"/>
        <v>58</v>
      </c>
      <c r="AD73" s="122">
        <f t="shared" si="15"/>
        <v>0</v>
      </c>
      <c r="AE73" s="122">
        <f t="shared" si="16"/>
        <v>58</v>
      </c>
      <c r="AF73" s="122">
        <f t="shared" si="17"/>
        <v>0</v>
      </c>
      <c r="AG73" s="122">
        <f t="shared" si="18"/>
        <v>58</v>
      </c>
      <c r="AH73" s="122">
        <f t="shared" si="19"/>
        <v>0</v>
      </c>
    </row>
    <row r="74" spans="1:34" x14ac:dyDescent="0.25">
      <c r="A74" t="s">
        <v>71</v>
      </c>
      <c r="B74">
        <v>57.665325164800002</v>
      </c>
      <c r="C74">
        <v>58.818649292000003</v>
      </c>
      <c r="I74" s="5"/>
      <c r="M74">
        <v>58.550880432100001</v>
      </c>
      <c r="N74">
        <v>0.38161277771000002</v>
      </c>
      <c r="O74" s="79"/>
      <c r="P74">
        <v>58.483551025399997</v>
      </c>
      <c r="Q74">
        <v>0.43454766273500001</v>
      </c>
      <c r="R74" s="79"/>
      <c r="S74">
        <v>58.405090332</v>
      </c>
      <c r="T74">
        <v>56.843994140600003</v>
      </c>
      <c r="U74" s="79"/>
      <c r="V74">
        <v>58.423542022699998</v>
      </c>
      <c r="W74">
        <v>56.814838409399997</v>
      </c>
      <c r="Y74" s="79">
        <f t="shared" si="10"/>
        <v>2</v>
      </c>
      <c r="Z74" s="79">
        <f t="shared" si="11"/>
        <v>2</v>
      </c>
      <c r="AA74" s="122">
        <f t="shared" si="12"/>
        <v>58</v>
      </c>
      <c r="AB74" s="122">
        <f t="shared" si="13"/>
        <v>0</v>
      </c>
      <c r="AC74" s="122">
        <f t="shared" si="14"/>
        <v>58</v>
      </c>
      <c r="AD74" s="122">
        <f t="shared" si="15"/>
        <v>0</v>
      </c>
      <c r="AE74" s="122">
        <f t="shared" si="16"/>
        <v>58</v>
      </c>
      <c r="AF74" s="122">
        <f t="shared" si="17"/>
        <v>56</v>
      </c>
      <c r="AG74" s="122">
        <f t="shared" si="18"/>
        <v>58</v>
      </c>
      <c r="AH74" s="122">
        <f t="shared" si="19"/>
        <v>56</v>
      </c>
    </row>
    <row r="75" spans="1:34" x14ac:dyDescent="0.25">
      <c r="A75" t="s">
        <v>72</v>
      </c>
      <c r="B75">
        <v>57.620429992699997</v>
      </c>
      <c r="C75">
        <v>57.769489288300001</v>
      </c>
      <c r="I75" s="5"/>
      <c r="M75">
        <v>58.007575988799999</v>
      </c>
      <c r="N75">
        <v>0.38070678710900002</v>
      </c>
      <c r="O75" s="79"/>
      <c r="P75">
        <v>57.946277618400003</v>
      </c>
      <c r="Q75">
        <v>0.43325018882799998</v>
      </c>
      <c r="R75" s="79"/>
      <c r="S75">
        <v>57.862926483199999</v>
      </c>
      <c r="T75">
        <v>54.869842529300001</v>
      </c>
      <c r="U75" s="79"/>
      <c r="V75">
        <v>57.847118377699999</v>
      </c>
      <c r="W75">
        <v>54.799270629900001</v>
      </c>
      <c r="Y75" s="79">
        <f t="shared" si="10"/>
        <v>2</v>
      </c>
      <c r="Z75" s="79">
        <f t="shared" si="11"/>
        <v>2</v>
      </c>
      <c r="AA75" s="122">
        <f t="shared" si="12"/>
        <v>58</v>
      </c>
      <c r="AB75" s="122">
        <f t="shared" si="13"/>
        <v>0</v>
      </c>
      <c r="AC75" s="122">
        <f t="shared" si="14"/>
        <v>57</v>
      </c>
      <c r="AD75" s="122">
        <f t="shared" si="15"/>
        <v>0</v>
      </c>
      <c r="AE75" s="122">
        <f t="shared" si="16"/>
        <v>57</v>
      </c>
      <c r="AF75" s="122">
        <f t="shared" si="17"/>
        <v>54</v>
      </c>
      <c r="AG75" s="122">
        <f t="shared" si="18"/>
        <v>57</v>
      </c>
      <c r="AH75" s="122">
        <f t="shared" si="19"/>
        <v>54</v>
      </c>
    </row>
    <row r="76" spans="1:34" x14ac:dyDescent="0.25">
      <c r="A76" t="s">
        <v>73</v>
      </c>
      <c r="B76">
        <v>54.333900451700003</v>
      </c>
      <c r="C76">
        <v>1.2235403060900001</v>
      </c>
      <c r="I76" s="5"/>
      <c r="M76">
        <v>52.639915466300003</v>
      </c>
      <c r="N76">
        <v>0.38716793060299998</v>
      </c>
      <c r="O76" s="79"/>
      <c r="P76">
        <v>52.578208923299997</v>
      </c>
      <c r="Q76">
        <v>0.43987441062900001</v>
      </c>
      <c r="R76" s="79"/>
      <c r="S76">
        <v>52.482963562000002</v>
      </c>
      <c r="T76">
        <v>50.086475372300001</v>
      </c>
      <c r="U76" s="79"/>
      <c r="V76">
        <v>52.459217071499999</v>
      </c>
      <c r="W76">
        <v>100.010993958</v>
      </c>
      <c r="Y76" s="79">
        <f t="shared" si="10"/>
        <v>2</v>
      </c>
      <c r="Z76" s="79">
        <f t="shared" si="11"/>
        <v>2</v>
      </c>
      <c r="AA76" s="122">
        <f t="shared" si="12"/>
        <v>52</v>
      </c>
      <c r="AB76" s="122">
        <f t="shared" si="13"/>
        <v>0</v>
      </c>
      <c r="AC76" s="122">
        <f t="shared" si="14"/>
        <v>52</v>
      </c>
      <c r="AD76" s="122">
        <f t="shared" si="15"/>
        <v>0</v>
      </c>
      <c r="AE76" s="122">
        <f t="shared" si="16"/>
        <v>52</v>
      </c>
      <c r="AF76" s="122">
        <f t="shared" si="17"/>
        <v>50</v>
      </c>
      <c r="AG76" s="122">
        <f t="shared" si="18"/>
        <v>52</v>
      </c>
      <c r="AH76" s="122">
        <f t="shared" si="19"/>
        <v>100</v>
      </c>
    </row>
    <row r="77" spans="1:34" x14ac:dyDescent="0.25">
      <c r="A77" t="s">
        <v>74</v>
      </c>
      <c r="B77">
        <v>52.816154480000002</v>
      </c>
      <c r="C77">
        <v>15.554428100599999</v>
      </c>
      <c r="I77" s="5"/>
      <c r="M77">
        <v>53.106117248499999</v>
      </c>
      <c r="N77">
        <v>0.38304328918500002</v>
      </c>
      <c r="O77" s="79"/>
      <c r="P77">
        <v>53.050231933600003</v>
      </c>
      <c r="Q77">
        <v>0.43624615669299999</v>
      </c>
      <c r="R77" s="79"/>
      <c r="S77">
        <v>52.969215393100001</v>
      </c>
      <c r="T77">
        <v>8.1658601760899998</v>
      </c>
      <c r="U77" s="79"/>
      <c r="V77">
        <v>52.9560317993</v>
      </c>
      <c r="W77">
        <v>0.233173370361</v>
      </c>
      <c r="Y77" s="79">
        <f t="shared" si="10"/>
        <v>2</v>
      </c>
      <c r="Z77" s="79">
        <f t="shared" si="11"/>
        <v>2</v>
      </c>
      <c r="AA77" s="122">
        <f t="shared" si="12"/>
        <v>53</v>
      </c>
      <c r="AB77" s="122">
        <f t="shared" si="13"/>
        <v>0</v>
      </c>
      <c r="AC77" s="122">
        <f t="shared" si="14"/>
        <v>53</v>
      </c>
      <c r="AD77" s="122">
        <f t="shared" si="15"/>
        <v>0</v>
      </c>
      <c r="AE77" s="122">
        <f t="shared" si="16"/>
        <v>52</v>
      </c>
      <c r="AF77" s="122">
        <f t="shared" si="17"/>
        <v>8</v>
      </c>
      <c r="AG77" s="122">
        <f t="shared" si="18"/>
        <v>52</v>
      </c>
      <c r="AH77" s="122">
        <f t="shared" si="19"/>
        <v>0</v>
      </c>
    </row>
    <row r="78" spans="1:34" x14ac:dyDescent="0.25">
      <c r="A78" t="s">
        <v>75</v>
      </c>
      <c r="B78">
        <v>56.010437011699999</v>
      </c>
      <c r="C78">
        <v>57.912635803199997</v>
      </c>
      <c r="I78" s="5"/>
      <c r="M78">
        <v>55.761051178000002</v>
      </c>
      <c r="N78">
        <v>0.382208824158</v>
      </c>
      <c r="O78" s="79"/>
      <c r="P78">
        <v>55.710338592500001</v>
      </c>
      <c r="Q78">
        <v>0.43430837988900001</v>
      </c>
      <c r="R78" s="79"/>
      <c r="S78">
        <v>55.631591796899997</v>
      </c>
      <c r="T78">
        <v>10.1923465729</v>
      </c>
      <c r="U78" s="79"/>
      <c r="V78">
        <v>78.116058349599996</v>
      </c>
      <c r="W78">
        <v>10.196805000299999</v>
      </c>
      <c r="Y78" s="79">
        <f t="shared" si="10"/>
        <v>2</v>
      </c>
      <c r="Z78" s="79">
        <f t="shared" si="11"/>
        <v>2</v>
      </c>
      <c r="AA78" s="122">
        <f t="shared" si="12"/>
        <v>55</v>
      </c>
      <c r="AB78" s="122">
        <f t="shared" si="13"/>
        <v>0</v>
      </c>
      <c r="AC78" s="122">
        <f t="shared" si="14"/>
        <v>55</v>
      </c>
      <c r="AD78" s="122">
        <f t="shared" si="15"/>
        <v>0</v>
      </c>
      <c r="AE78" s="122">
        <f t="shared" si="16"/>
        <v>55</v>
      </c>
      <c r="AF78" s="122">
        <f t="shared" si="17"/>
        <v>10</v>
      </c>
      <c r="AG78" s="122">
        <f t="shared" si="18"/>
        <v>78</v>
      </c>
      <c r="AH78" s="122">
        <f t="shared" si="19"/>
        <v>10</v>
      </c>
    </row>
    <row r="79" spans="1:34" x14ac:dyDescent="0.25">
      <c r="A79" t="s">
        <v>76</v>
      </c>
      <c r="B79">
        <v>57.682464599600003</v>
      </c>
      <c r="C79">
        <v>58.839298248299997</v>
      </c>
      <c r="I79" s="5"/>
      <c r="M79">
        <v>57.724975585899998</v>
      </c>
      <c r="N79">
        <v>0.385761260986</v>
      </c>
      <c r="O79" s="79"/>
      <c r="P79">
        <v>57.669807434100001</v>
      </c>
      <c r="Q79">
        <v>0.43844848871199998</v>
      </c>
      <c r="R79" s="79"/>
      <c r="S79">
        <v>57.573654174799998</v>
      </c>
      <c r="T79">
        <v>40.232421875</v>
      </c>
      <c r="U79" s="79"/>
      <c r="V79">
        <v>100.006195068</v>
      </c>
      <c r="W79">
        <v>40.688133239700001</v>
      </c>
      <c r="Y79" s="79">
        <f t="shared" si="10"/>
        <v>2</v>
      </c>
      <c r="Z79" s="79">
        <f t="shared" si="11"/>
        <v>2</v>
      </c>
      <c r="AA79" s="122">
        <f t="shared" si="12"/>
        <v>57</v>
      </c>
      <c r="AB79" s="122">
        <f t="shared" si="13"/>
        <v>0</v>
      </c>
      <c r="AC79" s="122">
        <f t="shared" si="14"/>
        <v>57</v>
      </c>
      <c r="AD79" s="122">
        <f t="shared" si="15"/>
        <v>0</v>
      </c>
      <c r="AE79" s="122">
        <f t="shared" si="16"/>
        <v>57</v>
      </c>
      <c r="AF79" s="122">
        <f t="shared" si="17"/>
        <v>40</v>
      </c>
      <c r="AG79" s="122">
        <f t="shared" si="18"/>
        <v>100</v>
      </c>
      <c r="AH79" s="122">
        <f t="shared" si="19"/>
        <v>40</v>
      </c>
    </row>
    <row r="80" spans="1:34" x14ac:dyDescent="0.25">
      <c r="A80" t="s">
        <v>77</v>
      </c>
      <c r="B80">
        <v>58.2031478882</v>
      </c>
      <c r="C80">
        <v>8.7308883667000001E-2</v>
      </c>
      <c r="I80" s="5"/>
      <c r="M80">
        <v>52.286647796600001</v>
      </c>
      <c r="N80">
        <v>0.39165019988999999</v>
      </c>
      <c r="O80" s="79"/>
      <c r="P80">
        <v>52.238037109399997</v>
      </c>
      <c r="Q80">
        <v>0.444611698389</v>
      </c>
      <c r="R80" s="79"/>
      <c r="S80">
        <v>52.069210052499997</v>
      </c>
      <c r="T80">
        <v>7.9571723937999996</v>
      </c>
      <c r="U80" s="79"/>
      <c r="V80">
        <v>52.094696044899997</v>
      </c>
      <c r="W80">
        <v>7.9596996307400003</v>
      </c>
      <c r="Y80" s="79">
        <f t="shared" si="10"/>
        <v>2</v>
      </c>
      <c r="Z80" s="79">
        <f t="shared" si="11"/>
        <v>2</v>
      </c>
      <c r="AA80" s="122">
        <f t="shared" si="12"/>
        <v>52</v>
      </c>
      <c r="AB80" s="122">
        <f t="shared" si="13"/>
        <v>0</v>
      </c>
      <c r="AC80" s="122">
        <f t="shared" si="14"/>
        <v>52</v>
      </c>
      <c r="AD80" s="122">
        <f t="shared" si="15"/>
        <v>0</v>
      </c>
      <c r="AE80" s="122">
        <f t="shared" si="16"/>
        <v>52</v>
      </c>
      <c r="AF80" s="122">
        <f t="shared" si="17"/>
        <v>7</v>
      </c>
      <c r="AG80" s="122">
        <f t="shared" si="18"/>
        <v>52</v>
      </c>
      <c r="AH80" s="122">
        <f t="shared" si="19"/>
        <v>7</v>
      </c>
    </row>
    <row r="81" spans="1:34" x14ac:dyDescent="0.25">
      <c r="A81" t="s">
        <v>78</v>
      </c>
      <c r="B81">
        <v>57.726333618200002</v>
      </c>
      <c r="C81">
        <v>58.830619812000002</v>
      </c>
      <c r="I81" s="5"/>
      <c r="M81">
        <v>9.8201513290399998</v>
      </c>
      <c r="N81">
        <v>0.392985343933</v>
      </c>
      <c r="O81" s="79"/>
      <c r="P81">
        <v>9.8224163055399991</v>
      </c>
      <c r="Q81">
        <v>0.44585806131400002</v>
      </c>
      <c r="R81" s="79"/>
      <c r="S81">
        <v>9.8201751709000007</v>
      </c>
      <c r="T81">
        <v>55.409740448000001</v>
      </c>
      <c r="U81" s="79"/>
      <c r="V81">
        <v>100.005935669</v>
      </c>
      <c r="W81">
        <v>55.3851623535</v>
      </c>
      <c r="Y81" s="79">
        <f t="shared" si="10"/>
        <v>2</v>
      </c>
      <c r="Z81" s="79">
        <f t="shared" si="11"/>
        <v>2</v>
      </c>
      <c r="AA81" s="122">
        <f t="shared" si="12"/>
        <v>9</v>
      </c>
      <c r="AB81" s="122">
        <f t="shared" si="13"/>
        <v>0</v>
      </c>
      <c r="AC81" s="122">
        <f t="shared" si="14"/>
        <v>9</v>
      </c>
      <c r="AD81" s="122">
        <f t="shared" si="15"/>
        <v>0</v>
      </c>
      <c r="AE81" s="122">
        <f t="shared" si="16"/>
        <v>9</v>
      </c>
      <c r="AF81" s="122">
        <f t="shared" si="17"/>
        <v>55</v>
      </c>
      <c r="AG81" s="122">
        <f t="shared" si="18"/>
        <v>100</v>
      </c>
      <c r="AH81" s="122">
        <f t="shared" si="19"/>
        <v>55</v>
      </c>
    </row>
    <row r="82" spans="1:34" x14ac:dyDescent="0.25">
      <c r="A82" t="s">
        <v>79</v>
      </c>
      <c r="B82">
        <v>57.680679321299998</v>
      </c>
      <c r="C82">
        <v>58.776927948000001</v>
      </c>
      <c r="I82" s="5"/>
      <c r="M82">
        <v>58.992553710899998</v>
      </c>
      <c r="N82">
        <v>0.38630962371799998</v>
      </c>
      <c r="O82" s="79"/>
      <c r="P82">
        <v>58.8716506958</v>
      </c>
      <c r="Q82">
        <v>0.43834581971199998</v>
      </c>
      <c r="R82" s="79"/>
      <c r="S82">
        <v>58.693649292000003</v>
      </c>
      <c r="T82">
        <v>53.804634094199997</v>
      </c>
      <c r="U82" s="79"/>
      <c r="V82">
        <v>100.006126404</v>
      </c>
      <c r="W82">
        <v>53.813529968300003</v>
      </c>
      <c r="Y82" s="79">
        <f t="shared" si="10"/>
        <v>2</v>
      </c>
      <c r="Z82" s="79">
        <f t="shared" si="11"/>
        <v>2</v>
      </c>
      <c r="AA82" s="122">
        <f t="shared" si="12"/>
        <v>58</v>
      </c>
      <c r="AB82" s="122">
        <f t="shared" si="13"/>
        <v>0</v>
      </c>
      <c r="AC82" s="122">
        <f t="shared" si="14"/>
        <v>58</v>
      </c>
      <c r="AD82" s="122">
        <f t="shared" si="15"/>
        <v>0</v>
      </c>
      <c r="AE82" s="122">
        <f t="shared" si="16"/>
        <v>58</v>
      </c>
      <c r="AF82" s="122">
        <f t="shared" si="17"/>
        <v>53</v>
      </c>
      <c r="AG82" s="122">
        <f t="shared" si="18"/>
        <v>100</v>
      </c>
      <c r="AH82" s="122">
        <f t="shared" si="19"/>
        <v>53</v>
      </c>
    </row>
    <row r="83" spans="1:34" x14ac:dyDescent="0.25">
      <c r="A83" t="s">
        <v>80</v>
      </c>
      <c r="B83">
        <v>58.382247924799998</v>
      </c>
      <c r="C83">
        <v>57.9579849243</v>
      </c>
      <c r="I83" s="5"/>
      <c r="M83">
        <v>59.020637512199997</v>
      </c>
      <c r="N83">
        <v>0.38104057312</v>
      </c>
      <c r="O83" s="79"/>
      <c r="P83">
        <v>58.960296630899997</v>
      </c>
      <c r="Q83">
        <v>0.43316417932500001</v>
      </c>
      <c r="R83" s="79"/>
      <c r="S83">
        <v>58.8623275757</v>
      </c>
      <c r="T83">
        <v>55.169582366900002</v>
      </c>
      <c r="U83" s="79"/>
      <c r="V83">
        <v>100.006530762</v>
      </c>
      <c r="W83">
        <v>55.130050659200002</v>
      </c>
      <c r="Y83" s="79">
        <f t="shared" si="10"/>
        <v>2</v>
      </c>
      <c r="Z83" s="79">
        <f t="shared" si="11"/>
        <v>2</v>
      </c>
      <c r="AA83" s="122">
        <f t="shared" si="12"/>
        <v>59</v>
      </c>
      <c r="AB83" s="122">
        <f t="shared" si="13"/>
        <v>0</v>
      </c>
      <c r="AC83" s="122">
        <f t="shared" si="14"/>
        <v>58</v>
      </c>
      <c r="AD83" s="122">
        <f t="shared" si="15"/>
        <v>0</v>
      </c>
      <c r="AE83" s="122">
        <f t="shared" si="16"/>
        <v>58</v>
      </c>
      <c r="AF83" s="122">
        <f t="shared" si="17"/>
        <v>55</v>
      </c>
      <c r="AG83" s="122">
        <f t="shared" si="18"/>
        <v>100</v>
      </c>
      <c r="AH83" s="122">
        <f t="shared" si="19"/>
        <v>55</v>
      </c>
    </row>
    <row r="84" spans="1:34" x14ac:dyDescent="0.25">
      <c r="A84" t="s">
        <v>81</v>
      </c>
      <c r="B84">
        <v>57.333946228000002</v>
      </c>
      <c r="C84">
        <v>52.9849777222</v>
      </c>
      <c r="I84" s="5"/>
      <c r="M84">
        <v>56.094264984100001</v>
      </c>
      <c r="N84">
        <v>0.38006305694600001</v>
      </c>
      <c r="O84" s="79"/>
      <c r="P84">
        <v>56.030750274699997</v>
      </c>
      <c r="Q84">
        <v>0.43234401941299999</v>
      </c>
      <c r="R84" s="79"/>
      <c r="S84">
        <v>55.927967071499999</v>
      </c>
      <c r="T84">
        <v>51.263282775900002</v>
      </c>
      <c r="U84" s="79"/>
      <c r="V84">
        <v>55.906200408899998</v>
      </c>
      <c r="W84">
        <v>100.010108948</v>
      </c>
      <c r="Y84" s="79">
        <f t="shared" si="10"/>
        <v>2</v>
      </c>
      <c r="Z84" s="79">
        <f t="shared" si="11"/>
        <v>2</v>
      </c>
      <c r="AA84" s="122">
        <f t="shared" si="12"/>
        <v>56</v>
      </c>
      <c r="AB84" s="122">
        <f t="shared" si="13"/>
        <v>0</v>
      </c>
      <c r="AC84" s="122">
        <f t="shared" si="14"/>
        <v>56</v>
      </c>
      <c r="AD84" s="122">
        <f t="shared" si="15"/>
        <v>0</v>
      </c>
      <c r="AE84" s="122">
        <f t="shared" si="16"/>
        <v>55</v>
      </c>
      <c r="AF84" s="122">
        <f t="shared" si="17"/>
        <v>51</v>
      </c>
      <c r="AG84" s="122">
        <f t="shared" si="18"/>
        <v>55</v>
      </c>
      <c r="AH84" s="122">
        <f t="shared" si="19"/>
        <v>100</v>
      </c>
    </row>
    <row r="85" spans="1:34" x14ac:dyDescent="0.25">
      <c r="A85" t="s">
        <v>82</v>
      </c>
      <c r="B85">
        <v>52.699684143100001</v>
      </c>
      <c r="C85">
        <v>54.357170105000002</v>
      </c>
      <c r="I85" s="5"/>
      <c r="M85">
        <v>-2.45571136475E-2</v>
      </c>
      <c r="N85">
        <v>0.36215782165499999</v>
      </c>
      <c r="O85" s="79"/>
      <c r="P85">
        <v>-2.4890899658199999E-2</v>
      </c>
      <c r="Q85">
        <v>0.41308522224400002</v>
      </c>
      <c r="R85" s="79"/>
      <c r="S85">
        <v>-2.3245811462399998E-2</v>
      </c>
      <c r="T85">
        <v>37.397407531699997</v>
      </c>
      <c r="U85" s="79"/>
      <c r="V85">
        <v>1.9598007202100001E-2</v>
      </c>
      <c r="W85">
        <v>64.777565002399996</v>
      </c>
      <c r="Y85" s="79">
        <f t="shared" si="10"/>
        <v>4</v>
      </c>
      <c r="Z85" s="79">
        <f t="shared" si="11"/>
        <v>2</v>
      </c>
      <c r="AA85" s="122">
        <f t="shared" si="12"/>
        <v>0</v>
      </c>
      <c r="AB85" s="122">
        <f t="shared" si="13"/>
        <v>0</v>
      </c>
      <c r="AC85" s="122">
        <f t="shared" si="14"/>
        <v>0</v>
      </c>
      <c r="AD85" s="122">
        <f t="shared" si="15"/>
        <v>0</v>
      </c>
      <c r="AE85" s="122">
        <f t="shared" si="16"/>
        <v>0</v>
      </c>
      <c r="AF85" s="122">
        <f t="shared" si="17"/>
        <v>37</v>
      </c>
      <c r="AG85" s="122">
        <f t="shared" si="18"/>
        <v>0</v>
      </c>
      <c r="AH85" s="122">
        <f t="shared" si="19"/>
        <v>64</v>
      </c>
    </row>
    <row r="86" spans="1:34" x14ac:dyDescent="0.25">
      <c r="A86" t="s">
        <v>83</v>
      </c>
      <c r="B86">
        <v>0.69169998168900004</v>
      </c>
      <c r="C86">
        <v>3.66451740265</v>
      </c>
      <c r="I86" s="5"/>
      <c r="M86">
        <v>53.9749603271</v>
      </c>
      <c r="N86">
        <v>0.38759708404499998</v>
      </c>
      <c r="O86" s="79"/>
      <c r="P86">
        <v>53.9211044312</v>
      </c>
      <c r="Q86">
        <v>0.43936973810199997</v>
      </c>
      <c r="R86" s="79"/>
      <c r="S86">
        <v>53.819370269799997</v>
      </c>
      <c r="T86">
        <v>27.110553741499999</v>
      </c>
      <c r="U86" s="79"/>
      <c r="V86">
        <v>53.772140502900001</v>
      </c>
      <c r="W86">
        <v>100.01094055199999</v>
      </c>
      <c r="Y86" s="79">
        <f t="shared" si="10"/>
        <v>2</v>
      </c>
      <c r="Z86" s="79">
        <f t="shared" si="11"/>
        <v>2</v>
      </c>
      <c r="AA86" s="122">
        <f t="shared" si="12"/>
        <v>53</v>
      </c>
      <c r="AB86" s="122">
        <f t="shared" si="13"/>
        <v>0</v>
      </c>
      <c r="AC86" s="122">
        <f t="shared" si="14"/>
        <v>53</v>
      </c>
      <c r="AD86" s="122">
        <f t="shared" si="15"/>
        <v>0</v>
      </c>
      <c r="AE86" s="122">
        <f t="shared" si="16"/>
        <v>53</v>
      </c>
      <c r="AF86" s="122">
        <f t="shared" si="17"/>
        <v>27</v>
      </c>
      <c r="AG86" s="122">
        <f t="shared" si="18"/>
        <v>53</v>
      </c>
      <c r="AH86" s="122">
        <f t="shared" si="19"/>
        <v>100</v>
      </c>
    </row>
    <row r="87" spans="1:34" x14ac:dyDescent="0.25">
      <c r="A87" t="s">
        <v>84</v>
      </c>
      <c r="B87">
        <v>56.568908691399997</v>
      </c>
      <c r="C87">
        <v>58.037544250499998</v>
      </c>
      <c r="I87" s="5"/>
      <c r="M87">
        <v>35.9186897278</v>
      </c>
      <c r="N87">
        <v>0.38921833038300002</v>
      </c>
      <c r="O87" s="79"/>
      <c r="P87">
        <v>35.9121551514</v>
      </c>
      <c r="Q87">
        <v>0.44199001789100001</v>
      </c>
      <c r="R87" s="79"/>
      <c r="S87">
        <v>35.843231201199998</v>
      </c>
      <c r="T87">
        <v>55.5163879395</v>
      </c>
      <c r="U87" s="79"/>
      <c r="V87">
        <v>35.896347045900001</v>
      </c>
      <c r="W87">
        <v>55.392574310299999</v>
      </c>
      <c r="Y87" s="79">
        <f t="shared" si="10"/>
        <v>2</v>
      </c>
      <c r="Z87" s="79">
        <f t="shared" si="11"/>
        <v>2</v>
      </c>
      <c r="AA87" s="122">
        <f t="shared" si="12"/>
        <v>35</v>
      </c>
      <c r="AB87" s="122">
        <f t="shared" si="13"/>
        <v>0</v>
      </c>
      <c r="AC87" s="122">
        <f t="shared" si="14"/>
        <v>35</v>
      </c>
      <c r="AD87" s="122">
        <f t="shared" si="15"/>
        <v>0</v>
      </c>
      <c r="AE87" s="122">
        <f t="shared" si="16"/>
        <v>35</v>
      </c>
      <c r="AF87" s="122">
        <f t="shared" si="17"/>
        <v>55</v>
      </c>
      <c r="AG87" s="122">
        <f t="shared" si="18"/>
        <v>35</v>
      </c>
      <c r="AH87" s="122">
        <f t="shared" si="19"/>
        <v>55</v>
      </c>
    </row>
    <row r="88" spans="1:34" x14ac:dyDescent="0.25">
      <c r="A88" t="s">
        <v>85</v>
      </c>
      <c r="B88">
        <v>55.476093292199998</v>
      </c>
      <c r="C88">
        <v>57.633735656699997</v>
      </c>
      <c r="I88" s="5"/>
      <c r="M88">
        <v>44.273735046399999</v>
      </c>
      <c r="N88">
        <v>0.38847923278800001</v>
      </c>
      <c r="O88" s="79"/>
      <c r="P88">
        <v>44.239734649699997</v>
      </c>
      <c r="Q88">
        <v>0.441205114126</v>
      </c>
      <c r="R88" s="79"/>
      <c r="S88">
        <v>44.172714233400001</v>
      </c>
      <c r="T88">
        <v>55.609607696499999</v>
      </c>
      <c r="U88" s="79"/>
      <c r="V88">
        <v>44.180679321299998</v>
      </c>
      <c r="W88">
        <v>55.544067382800002</v>
      </c>
      <c r="Y88" s="79">
        <f t="shared" si="10"/>
        <v>2</v>
      </c>
      <c r="Z88" s="79">
        <f t="shared" si="11"/>
        <v>2</v>
      </c>
      <c r="AA88" s="122">
        <f t="shared" si="12"/>
        <v>44</v>
      </c>
      <c r="AB88" s="122">
        <f t="shared" si="13"/>
        <v>0</v>
      </c>
      <c r="AC88" s="122">
        <f t="shared" si="14"/>
        <v>44</v>
      </c>
      <c r="AD88" s="122">
        <f t="shared" si="15"/>
        <v>0</v>
      </c>
      <c r="AE88" s="122">
        <f t="shared" si="16"/>
        <v>44</v>
      </c>
      <c r="AF88" s="122">
        <f t="shared" si="17"/>
        <v>55</v>
      </c>
      <c r="AG88" s="122">
        <f t="shared" si="18"/>
        <v>44</v>
      </c>
      <c r="AH88" s="122">
        <f t="shared" si="19"/>
        <v>55</v>
      </c>
    </row>
    <row r="89" spans="1:34" x14ac:dyDescent="0.25">
      <c r="A89" t="s">
        <v>86</v>
      </c>
      <c r="B89">
        <v>56.663894653299998</v>
      </c>
      <c r="C89">
        <v>56.185485839800002</v>
      </c>
      <c r="I89" s="5"/>
      <c r="M89">
        <v>57.0133934021</v>
      </c>
      <c r="N89">
        <v>0.38611888885500001</v>
      </c>
      <c r="O89" s="79"/>
      <c r="P89">
        <v>56.952785491900002</v>
      </c>
      <c r="Q89">
        <v>0.43843087553999999</v>
      </c>
      <c r="R89" s="79"/>
      <c r="S89">
        <v>56.858108520499997</v>
      </c>
      <c r="T89">
        <v>53.651763916</v>
      </c>
      <c r="U89" s="79"/>
      <c r="V89">
        <v>56.866001129200001</v>
      </c>
      <c r="W89">
        <v>53.607200622599997</v>
      </c>
      <c r="Y89" s="79">
        <f t="shared" si="10"/>
        <v>2</v>
      </c>
      <c r="Z89" s="79">
        <f t="shared" si="11"/>
        <v>2</v>
      </c>
      <c r="AA89" s="122">
        <f t="shared" si="12"/>
        <v>57</v>
      </c>
      <c r="AB89" s="122">
        <f t="shared" si="13"/>
        <v>0</v>
      </c>
      <c r="AC89" s="122">
        <f t="shared" si="14"/>
        <v>56</v>
      </c>
      <c r="AD89" s="122">
        <f t="shared" si="15"/>
        <v>0</v>
      </c>
      <c r="AE89" s="122">
        <f t="shared" si="16"/>
        <v>56</v>
      </c>
      <c r="AF89" s="122">
        <f t="shared" si="17"/>
        <v>53</v>
      </c>
      <c r="AG89" s="122">
        <f t="shared" si="18"/>
        <v>56</v>
      </c>
      <c r="AH89" s="122">
        <f t="shared" si="19"/>
        <v>53</v>
      </c>
    </row>
    <row r="90" spans="1:34" x14ac:dyDescent="0.25">
      <c r="A90" t="s">
        <v>87</v>
      </c>
      <c r="B90">
        <v>56.4687271118</v>
      </c>
      <c r="C90">
        <v>52.332210540799998</v>
      </c>
      <c r="I90" s="5"/>
      <c r="M90">
        <v>55.004264831500002</v>
      </c>
      <c r="N90">
        <v>0.38595199585000001</v>
      </c>
      <c r="O90" s="79"/>
      <c r="P90">
        <v>54.934429168699999</v>
      </c>
      <c r="Q90">
        <v>0.438268333673</v>
      </c>
      <c r="R90" s="79"/>
      <c r="S90">
        <v>54.820846557599999</v>
      </c>
      <c r="T90">
        <v>50.761459350599999</v>
      </c>
      <c r="U90" s="79"/>
      <c r="V90">
        <v>54.797290801999999</v>
      </c>
      <c r="W90">
        <v>100.010299683</v>
      </c>
      <c r="Y90" s="79">
        <f t="shared" si="10"/>
        <v>2</v>
      </c>
      <c r="Z90" s="79">
        <f t="shared" si="11"/>
        <v>2</v>
      </c>
      <c r="AA90" s="122">
        <f t="shared" si="12"/>
        <v>55</v>
      </c>
      <c r="AB90" s="122">
        <f t="shared" si="13"/>
        <v>0</v>
      </c>
      <c r="AC90" s="122">
        <f t="shared" si="14"/>
        <v>54</v>
      </c>
      <c r="AD90" s="122">
        <f t="shared" si="15"/>
        <v>0</v>
      </c>
      <c r="AE90" s="122">
        <f t="shared" si="16"/>
        <v>54</v>
      </c>
      <c r="AF90" s="122">
        <f t="shared" si="17"/>
        <v>50</v>
      </c>
      <c r="AG90" s="122">
        <f t="shared" si="18"/>
        <v>54</v>
      </c>
      <c r="AH90" s="122">
        <f t="shared" si="19"/>
        <v>100</v>
      </c>
    </row>
    <row r="91" spans="1:34" x14ac:dyDescent="0.25">
      <c r="B91" t="s">
        <v>88</v>
      </c>
      <c r="C91" t="s">
        <v>88</v>
      </c>
    </row>
    <row r="92" spans="1:34" x14ac:dyDescent="0.25">
      <c r="B92" t="s">
        <v>88</v>
      </c>
      <c r="C92" t="s">
        <v>88</v>
      </c>
    </row>
  </sheetData>
  <mergeCells count="9">
    <mergeCell ref="F1:G1"/>
    <mergeCell ref="M2:N2"/>
    <mergeCell ref="P2:Q2"/>
    <mergeCell ref="S2:T2"/>
    <mergeCell ref="V2:W2"/>
    <mergeCell ref="M1:N1"/>
    <mergeCell ref="P1:Q1"/>
    <mergeCell ref="V1:W1"/>
    <mergeCell ref="S1:T1"/>
  </mergeCells>
  <conditionalFormatting sqref="O3:O90 R3:R90 U3:U90">
    <cfRule type="beginsWith" dxfId="5" priority="2" operator="beginsWith" text="&lt;--F--&gt;">
      <formula>LEFT(O3,LEN("&lt;--F--&gt;"))="&lt;--F--&gt;"</formula>
    </cfRule>
    <cfRule type="beginsWith" dxfId="4" priority="3" operator="beginsWith" text="&lt;--R--&gt;">
      <formula>LEFT(O3,LEN("&lt;--R--&gt;"))="&lt;--R--&gt;"</formula>
    </cfRule>
    <cfRule type="beginsWith" dxfId="3" priority="4" operator="beginsWith" text="&lt;--B--&gt;">
      <formula>LEFT(O3,LEN("&lt;--B--&gt;"))="&lt;--B--&gt;"</formula>
    </cfRule>
  </conditionalFormatting>
  <conditionalFormatting sqref="B3:C90 M3:N90 S3:T90 V3:W90 P3:Q90">
    <cfRule type="cellIs" dxfId="2" priority="1" operator="greaterThanOrEqual">
      <formula>$E$1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F19C-174D-4A45-9402-6982A45FA223}">
  <sheetPr codeName="Sheet12"/>
  <dimension ref="A1:AC123"/>
  <sheetViews>
    <sheetView topLeftCell="A21" zoomScale="80" zoomScaleNormal="80" workbookViewId="0">
      <selection activeCell="A33" sqref="A33:J62"/>
    </sheetView>
  </sheetViews>
  <sheetFormatPr defaultRowHeight="15" x14ac:dyDescent="0.25"/>
  <cols>
    <col min="11" max="11" width="5.7109375" customWidth="1"/>
    <col min="13" max="13" width="8.85546875" style="5"/>
    <col min="14" max="14" width="9.5703125" style="5" bestFit="1" customWidth="1"/>
    <col min="26" max="26" width="8.85546875" style="58"/>
    <col min="27" max="28" width="8.85546875" style="58" customWidth="1"/>
    <col min="29" max="29" width="8.85546875" style="58"/>
  </cols>
  <sheetData>
    <row r="1" spans="1:21" x14ac:dyDescent="0.25">
      <c r="A1" s="29"/>
      <c r="B1" s="30"/>
      <c r="C1" s="31">
        <v>4.0528059005700001</v>
      </c>
      <c r="D1" s="31">
        <v>47.337604522699998</v>
      </c>
      <c r="E1" s="31">
        <v>-3.7264823913599997E-2</v>
      </c>
      <c r="F1" s="31">
        <v>7.3434114456200001</v>
      </c>
      <c r="G1" s="31">
        <v>49.3135223389</v>
      </c>
      <c r="H1" s="31">
        <v>0.46055316925000001</v>
      </c>
      <c r="I1" s="30"/>
      <c r="J1" s="32"/>
      <c r="L1" s="44"/>
      <c r="M1" s="45"/>
      <c r="N1" s="31">
        <v>2.5241136550899999</v>
      </c>
      <c r="O1" s="31">
        <v>47.274444580100003</v>
      </c>
      <c r="P1" s="31">
        <v>1.22785568237E-2</v>
      </c>
      <c r="Q1" s="31">
        <v>1.9860267639199999E-2</v>
      </c>
      <c r="R1" s="31">
        <v>49.216175079300001</v>
      </c>
      <c r="S1" s="31">
        <v>0.33094882965099998</v>
      </c>
      <c r="T1" s="45"/>
      <c r="U1" s="46"/>
    </row>
    <row r="2" spans="1:21" x14ac:dyDescent="0.25">
      <c r="A2" s="33"/>
      <c r="B2" s="34"/>
      <c r="C2" s="28" t="s">
        <v>0</v>
      </c>
      <c r="D2" s="28" t="s">
        <v>1</v>
      </c>
      <c r="E2" s="28" t="s">
        <v>2</v>
      </c>
      <c r="F2" s="28" t="s">
        <v>3</v>
      </c>
      <c r="G2" s="28" t="s">
        <v>4</v>
      </c>
      <c r="H2" s="28" t="s">
        <v>5</v>
      </c>
      <c r="I2" s="34"/>
      <c r="J2" s="35"/>
      <c r="L2" s="47"/>
      <c r="M2" s="48"/>
      <c r="N2" s="28" t="s">
        <v>0</v>
      </c>
      <c r="O2" s="28" t="s">
        <v>1</v>
      </c>
      <c r="P2" s="28" t="s">
        <v>2</v>
      </c>
      <c r="Q2" s="28" t="s">
        <v>3</v>
      </c>
      <c r="R2" s="28" t="s">
        <v>4</v>
      </c>
      <c r="S2" s="28" t="s">
        <v>5</v>
      </c>
      <c r="T2" s="48"/>
      <c r="U2" s="49"/>
    </row>
    <row r="3" spans="1:21" x14ac:dyDescent="0.25">
      <c r="A3" s="33"/>
      <c r="B3" s="34"/>
      <c r="C3" s="26">
        <v>45.2375183105</v>
      </c>
      <c r="D3" s="26">
        <v>-5.2700605010599997E-4</v>
      </c>
      <c r="E3" s="26">
        <v>48.531486511200001</v>
      </c>
      <c r="F3" s="26">
        <v>51.010036468499997</v>
      </c>
      <c r="G3" s="26">
        <v>9.0854883193999996</v>
      </c>
      <c r="H3" s="26">
        <v>6.1416625976599998E-2</v>
      </c>
      <c r="I3" s="34"/>
      <c r="J3" s="35"/>
      <c r="L3" s="47"/>
      <c r="M3" s="48"/>
      <c r="N3" s="26">
        <v>67.382598877000007</v>
      </c>
      <c r="O3" s="26">
        <v>1.23023986816E-2</v>
      </c>
      <c r="P3" s="26">
        <v>48.523376464800002</v>
      </c>
      <c r="Q3" s="26">
        <v>51.000595092799998</v>
      </c>
      <c r="R3" s="26">
        <v>9.0916872024500002</v>
      </c>
      <c r="S3" s="26">
        <v>7.7056884765600006E-2</v>
      </c>
      <c r="T3" s="48"/>
      <c r="U3" s="49"/>
    </row>
    <row r="4" spans="1:21" x14ac:dyDescent="0.25">
      <c r="A4" s="33"/>
      <c r="B4" s="25">
        <v>22.376394271900001</v>
      </c>
      <c r="C4" s="25">
        <v>0.48232078552199997</v>
      </c>
      <c r="D4" s="25">
        <v>43.141651153600002</v>
      </c>
      <c r="E4" s="25">
        <v>-4.9209594726599998E-2</v>
      </c>
      <c r="F4" s="25">
        <v>50.831626892099997</v>
      </c>
      <c r="G4" s="25">
        <v>50.209785461400003</v>
      </c>
      <c r="H4" s="25">
        <v>48.427604675300003</v>
      </c>
      <c r="I4" s="25">
        <v>46.966053008999999</v>
      </c>
      <c r="J4" s="35"/>
      <c r="L4" s="47"/>
      <c r="M4" s="25">
        <v>22.4112033844</v>
      </c>
      <c r="N4" s="25">
        <v>0.478434562683</v>
      </c>
      <c r="O4" s="25">
        <v>64.797119140600003</v>
      </c>
      <c r="P4" s="25">
        <v>7.0571899414099996E-3</v>
      </c>
      <c r="Q4" s="25">
        <v>50.698352813699998</v>
      </c>
      <c r="R4" s="25">
        <v>50.068450927699999</v>
      </c>
      <c r="S4" s="25">
        <v>48.330879211400003</v>
      </c>
      <c r="T4" s="25">
        <v>46.854282379200001</v>
      </c>
      <c r="U4" s="49"/>
    </row>
    <row r="5" spans="1:21" x14ac:dyDescent="0.25">
      <c r="A5" s="33"/>
      <c r="B5" s="28" t="s">
        <v>6</v>
      </c>
      <c r="C5" s="28" t="s">
        <v>7</v>
      </c>
      <c r="D5" s="28" t="s">
        <v>8</v>
      </c>
      <c r="E5" s="28" t="s">
        <v>9</v>
      </c>
      <c r="F5" s="28" t="s">
        <v>10</v>
      </c>
      <c r="G5" s="28" t="s">
        <v>11</v>
      </c>
      <c r="H5" s="28" t="s">
        <v>12</v>
      </c>
      <c r="I5" s="28" t="s">
        <v>13</v>
      </c>
      <c r="J5" s="35"/>
      <c r="L5" s="47"/>
      <c r="M5" s="28" t="s">
        <v>6</v>
      </c>
      <c r="N5" s="28" t="s">
        <v>7</v>
      </c>
      <c r="O5" s="28" t="s">
        <v>8</v>
      </c>
      <c r="P5" s="28" t="s">
        <v>9</v>
      </c>
      <c r="Q5" s="28" t="s">
        <v>10</v>
      </c>
      <c r="R5" s="28" t="s">
        <v>11</v>
      </c>
      <c r="S5" s="28" t="s">
        <v>12</v>
      </c>
      <c r="T5" s="28" t="s">
        <v>13</v>
      </c>
      <c r="U5" s="49"/>
    </row>
    <row r="6" spans="1:21" x14ac:dyDescent="0.25">
      <c r="A6" s="33"/>
      <c r="B6" s="25">
        <v>45.256851196299998</v>
      </c>
      <c r="C6" s="25">
        <v>13.312292099</v>
      </c>
      <c r="D6" s="25">
        <v>-1.44902407192E-3</v>
      </c>
      <c r="E6" s="25">
        <v>6.7714691162099996</v>
      </c>
      <c r="F6" s="25">
        <v>54.587791442899999</v>
      </c>
      <c r="G6" s="25">
        <v>58.147216796899997</v>
      </c>
      <c r="H6" s="25">
        <v>33.101104736300002</v>
      </c>
      <c r="I6" s="25">
        <v>7.68458843231</v>
      </c>
      <c r="J6" s="35"/>
      <c r="L6" s="47"/>
      <c r="M6" s="25">
        <v>100.010635376</v>
      </c>
      <c r="N6" s="25">
        <v>13.323354721099999</v>
      </c>
      <c r="O6" s="25">
        <v>1.0585784912100001E-2</v>
      </c>
      <c r="P6" s="25">
        <v>6.8073511123700001</v>
      </c>
      <c r="Q6" s="25">
        <v>54.588172912600001</v>
      </c>
      <c r="R6" s="25">
        <v>58.116485595699999</v>
      </c>
      <c r="S6" s="25">
        <v>33.112812042199998</v>
      </c>
      <c r="T6" s="25">
        <v>7.68938064575</v>
      </c>
      <c r="U6" s="49"/>
    </row>
    <row r="7" spans="1:21" x14ac:dyDescent="0.25">
      <c r="A7" s="36">
        <v>46.3417510986</v>
      </c>
      <c r="B7" s="25">
        <v>51.976322174099998</v>
      </c>
      <c r="C7" s="25">
        <v>57.6554794312</v>
      </c>
      <c r="D7" s="25">
        <v>45.4015731812</v>
      </c>
      <c r="E7" s="25">
        <v>58.295558929400002</v>
      </c>
      <c r="F7" s="25">
        <v>54.422451019299999</v>
      </c>
      <c r="G7" s="25">
        <v>49.731277465799998</v>
      </c>
      <c r="H7" s="25">
        <v>0.91063976287799997</v>
      </c>
      <c r="I7" s="25">
        <v>46.3219146729</v>
      </c>
      <c r="J7" s="37">
        <v>13.540339469899999</v>
      </c>
      <c r="L7" s="36">
        <v>46.217990875200002</v>
      </c>
      <c r="M7" s="25">
        <v>51.876449585000003</v>
      </c>
      <c r="N7" s="25">
        <v>100.007537842</v>
      </c>
      <c r="O7" s="25">
        <v>100.006248474</v>
      </c>
      <c r="P7" s="25">
        <v>100.00669860799999</v>
      </c>
      <c r="Q7" s="25">
        <v>64.9086227417</v>
      </c>
      <c r="R7" s="25">
        <v>100.00634002699999</v>
      </c>
      <c r="S7" s="25">
        <v>100.006393433</v>
      </c>
      <c r="T7" s="25">
        <v>100.006126404</v>
      </c>
      <c r="U7" s="37">
        <v>12.5541210175</v>
      </c>
    </row>
    <row r="8" spans="1:21" x14ac:dyDescent="0.25">
      <c r="A8" s="38" t="s">
        <v>14</v>
      </c>
      <c r="B8" s="28" t="s">
        <v>15</v>
      </c>
      <c r="C8" s="28" t="s">
        <v>16</v>
      </c>
      <c r="D8" s="28" t="s">
        <v>17</v>
      </c>
      <c r="E8" s="28" t="s">
        <v>18</v>
      </c>
      <c r="F8" s="28" t="s">
        <v>19</v>
      </c>
      <c r="G8" s="28" t="s">
        <v>20</v>
      </c>
      <c r="H8" s="28" t="s">
        <v>21</v>
      </c>
      <c r="I8" s="28" t="s">
        <v>22</v>
      </c>
      <c r="J8" s="39" t="s">
        <v>23</v>
      </c>
      <c r="L8" s="38" t="s">
        <v>14</v>
      </c>
      <c r="M8" s="28" t="s">
        <v>15</v>
      </c>
      <c r="N8" s="28" t="s">
        <v>16</v>
      </c>
      <c r="O8" s="28" t="s">
        <v>17</v>
      </c>
      <c r="P8" s="28" t="s">
        <v>18</v>
      </c>
      <c r="Q8" s="28" t="s">
        <v>19</v>
      </c>
      <c r="R8" s="28" t="s">
        <v>20</v>
      </c>
      <c r="S8" s="28" t="s">
        <v>21</v>
      </c>
      <c r="T8" s="28" t="s">
        <v>22</v>
      </c>
      <c r="U8" s="39" t="s">
        <v>23</v>
      </c>
    </row>
    <row r="9" spans="1:21" x14ac:dyDescent="0.25">
      <c r="A9" s="36">
        <v>15.5643463135</v>
      </c>
      <c r="B9" s="25">
        <v>46.243095397899999</v>
      </c>
      <c r="C9" s="25">
        <v>43.7959213257</v>
      </c>
      <c r="D9" s="25">
        <v>50.608848571800003</v>
      </c>
      <c r="E9" s="25">
        <v>53.626441955600001</v>
      </c>
      <c r="F9" s="25">
        <v>0.11060594022299999</v>
      </c>
      <c r="G9" s="25">
        <v>58.334041595499997</v>
      </c>
      <c r="H9" s="25">
        <v>57.044528961200001</v>
      </c>
      <c r="I9" s="25">
        <v>52.127742767299999</v>
      </c>
      <c r="J9" s="37">
        <v>-3.9418623782700004E-3</v>
      </c>
      <c r="L9" s="36">
        <v>100.010391235</v>
      </c>
      <c r="M9" s="25">
        <v>46.1979866028</v>
      </c>
      <c r="N9" s="25">
        <v>43.350337982200003</v>
      </c>
      <c r="O9" s="25">
        <v>50.5935668945</v>
      </c>
      <c r="P9" s="25">
        <v>53.627922058099998</v>
      </c>
      <c r="Q9" s="25">
        <v>0.123167037964</v>
      </c>
      <c r="R9" s="25">
        <v>58.278369903600002</v>
      </c>
      <c r="S9" s="25">
        <v>57.020877838099999</v>
      </c>
      <c r="T9" s="25">
        <v>52.105808258099998</v>
      </c>
      <c r="U9" s="37">
        <v>77.531906127900001</v>
      </c>
    </row>
    <row r="10" spans="1:21" x14ac:dyDescent="0.25">
      <c r="A10" s="36">
        <v>9.6288919448900003</v>
      </c>
      <c r="B10" s="25">
        <v>54.212615966800001</v>
      </c>
      <c r="C10" s="25">
        <v>-2.7298927307099999E-2</v>
      </c>
      <c r="D10" s="25">
        <v>45.359825134300003</v>
      </c>
      <c r="E10" s="25">
        <v>36.307693481400001</v>
      </c>
      <c r="F10" s="25">
        <v>57.889221191399997</v>
      </c>
      <c r="G10" s="25">
        <v>55.0791015625</v>
      </c>
      <c r="H10" s="25">
        <v>51.225852966300003</v>
      </c>
      <c r="I10" s="25">
        <v>48.4373817444</v>
      </c>
      <c r="J10" s="37">
        <v>48.008705139200003</v>
      </c>
      <c r="L10" s="36">
        <v>9.6323251724199999</v>
      </c>
      <c r="M10" s="25">
        <v>54.086517334</v>
      </c>
      <c r="N10" s="25">
        <v>26.677799224899999</v>
      </c>
      <c r="O10" s="25">
        <v>45.449924469000003</v>
      </c>
      <c r="P10" s="25">
        <v>100.006530762</v>
      </c>
      <c r="Q10" s="25">
        <v>100.006652832</v>
      </c>
      <c r="R10" s="25">
        <v>54.9307098389</v>
      </c>
      <c r="S10" s="25">
        <v>100.00601196300001</v>
      </c>
      <c r="T10" s="25">
        <v>100.006774902</v>
      </c>
      <c r="U10" s="37">
        <v>47.925331115699997</v>
      </c>
    </row>
    <row r="11" spans="1:21" x14ac:dyDescent="0.25">
      <c r="A11" s="38" t="s">
        <v>24</v>
      </c>
      <c r="B11" s="28" t="s">
        <v>25</v>
      </c>
      <c r="C11" s="28" t="s">
        <v>26</v>
      </c>
      <c r="D11" s="28" t="s">
        <v>27</v>
      </c>
      <c r="E11" s="28" t="s">
        <v>28</v>
      </c>
      <c r="F11" s="28" t="s">
        <v>29</v>
      </c>
      <c r="G11" s="28" t="s">
        <v>30</v>
      </c>
      <c r="H11" s="28" t="s">
        <v>31</v>
      </c>
      <c r="I11" s="28" t="s">
        <v>32</v>
      </c>
      <c r="J11" s="39" t="s">
        <v>33</v>
      </c>
      <c r="L11" s="38" t="s">
        <v>24</v>
      </c>
      <c r="M11" s="28" t="s">
        <v>25</v>
      </c>
      <c r="N11" s="28" t="s">
        <v>26</v>
      </c>
      <c r="O11" s="28" t="s">
        <v>27</v>
      </c>
      <c r="P11" s="28" t="s">
        <v>28</v>
      </c>
      <c r="Q11" s="28" t="s">
        <v>29</v>
      </c>
      <c r="R11" s="28" t="s">
        <v>30</v>
      </c>
      <c r="S11" s="28" t="s">
        <v>31</v>
      </c>
      <c r="T11" s="28" t="s">
        <v>32</v>
      </c>
      <c r="U11" s="39" t="s">
        <v>33</v>
      </c>
    </row>
    <row r="12" spans="1:21" x14ac:dyDescent="0.25">
      <c r="A12" s="36">
        <v>45.901130676299999</v>
      </c>
      <c r="B12" s="25">
        <v>47.850322723399998</v>
      </c>
      <c r="C12" s="25">
        <v>4.1319370269800002</v>
      </c>
      <c r="D12" s="25">
        <v>2.11629867554</v>
      </c>
      <c r="E12" s="25">
        <v>9.8345279693599998</v>
      </c>
      <c r="F12" s="25">
        <v>56.780410766599999</v>
      </c>
      <c r="G12" s="25">
        <v>44.686771392799997</v>
      </c>
      <c r="H12" s="25">
        <v>9.1418743133499998</v>
      </c>
      <c r="I12" s="25">
        <v>53.935096740699997</v>
      </c>
      <c r="J12" s="37">
        <v>48.064086914100002</v>
      </c>
      <c r="L12" s="36">
        <v>100.011108398</v>
      </c>
      <c r="M12" s="25">
        <v>47.835086822500003</v>
      </c>
      <c r="N12" s="25">
        <v>4.1615009307899999</v>
      </c>
      <c r="O12" s="25">
        <v>2.1316051483199998</v>
      </c>
      <c r="P12" s="25">
        <v>9.8407983779899997</v>
      </c>
      <c r="Q12" s="25">
        <v>56.7644348145</v>
      </c>
      <c r="R12" s="25">
        <v>44.712066650399997</v>
      </c>
      <c r="S12" s="25">
        <v>9.1426372528099993</v>
      </c>
      <c r="T12" s="25">
        <v>53.902030944800003</v>
      </c>
      <c r="U12" s="37">
        <v>48.050262451199998</v>
      </c>
    </row>
    <row r="13" spans="1:21" x14ac:dyDescent="0.25">
      <c r="A13" s="36">
        <v>49.831153869600001</v>
      </c>
      <c r="B13" s="25">
        <v>56.128120422400002</v>
      </c>
      <c r="C13" s="25">
        <v>8.6335420608500009</v>
      </c>
      <c r="D13" s="25">
        <v>29.814481735200001</v>
      </c>
      <c r="E13" s="25">
        <v>19.182443618800001</v>
      </c>
      <c r="F13" s="25">
        <v>52.923847198499999</v>
      </c>
      <c r="G13" s="25">
        <v>56.9588661194</v>
      </c>
      <c r="H13" s="25">
        <v>55.1664123535</v>
      </c>
      <c r="I13" s="25">
        <v>50.902175903299998</v>
      </c>
      <c r="J13" s="37">
        <v>48.445533752400003</v>
      </c>
      <c r="L13" s="36">
        <v>49.704025268599999</v>
      </c>
      <c r="M13" s="25">
        <v>55.972576141399998</v>
      </c>
      <c r="N13" s="25">
        <v>8.6373090743999992</v>
      </c>
      <c r="O13" s="25">
        <v>4.3845176696799999E-2</v>
      </c>
      <c r="P13" s="25">
        <v>100.00629425</v>
      </c>
      <c r="Q13" s="25">
        <v>100.00655365</v>
      </c>
      <c r="R13" s="25">
        <v>100.00650787399999</v>
      </c>
      <c r="S13" s="25">
        <v>55.031990051299999</v>
      </c>
      <c r="T13" s="25">
        <v>50.785350799600003</v>
      </c>
      <c r="U13" s="37">
        <v>48.387218475300003</v>
      </c>
    </row>
    <row r="14" spans="1:21" x14ac:dyDescent="0.25">
      <c r="A14" s="38" t="s">
        <v>34</v>
      </c>
      <c r="B14" s="28" t="s">
        <v>35</v>
      </c>
      <c r="C14" s="28" t="s">
        <v>36</v>
      </c>
      <c r="D14" s="28" t="s">
        <v>37</v>
      </c>
      <c r="E14" s="28" t="s">
        <v>38</v>
      </c>
      <c r="F14" s="28" t="s">
        <v>39</v>
      </c>
      <c r="G14" s="28" t="s">
        <v>40</v>
      </c>
      <c r="H14" s="28" t="s">
        <v>41</v>
      </c>
      <c r="I14" s="28" t="s">
        <v>42</v>
      </c>
      <c r="J14" s="39" t="s">
        <v>43</v>
      </c>
      <c r="L14" s="38" t="s">
        <v>34</v>
      </c>
      <c r="M14" s="28" t="s">
        <v>35</v>
      </c>
      <c r="N14" s="28" t="s">
        <v>36</v>
      </c>
      <c r="O14" s="28" t="s">
        <v>37</v>
      </c>
      <c r="P14" s="28" t="s">
        <v>38</v>
      </c>
      <c r="Q14" s="28" t="s">
        <v>39</v>
      </c>
      <c r="R14" s="28" t="s">
        <v>40</v>
      </c>
      <c r="S14" s="28" t="s">
        <v>41</v>
      </c>
      <c r="T14" s="28" t="s">
        <v>42</v>
      </c>
      <c r="U14" s="39" t="s">
        <v>43</v>
      </c>
    </row>
    <row r="15" spans="1:21" x14ac:dyDescent="0.25">
      <c r="A15" s="36">
        <v>46.939064025900002</v>
      </c>
      <c r="B15" s="25">
        <v>49.833847045900001</v>
      </c>
      <c r="C15" s="25">
        <v>53.722953796399999</v>
      </c>
      <c r="D15" s="25">
        <v>47.623107910199998</v>
      </c>
      <c r="E15" s="25">
        <v>10.6295585632</v>
      </c>
      <c r="F15" s="25">
        <v>7.9257726669300004</v>
      </c>
      <c r="G15" s="25">
        <v>56.534194946299998</v>
      </c>
      <c r="H15" s="25">
        <v>8.8457584381099998</v>
      </c>
      <c r="I15" s="25">
        <v>55.393959045400003</v>
      </c>
      <c r="J15" s="37">
        <v>50.634479522699998</v>
      </c>
      <c r="L15" s="36">
        <v>46.770931243900002</v>
      </c>
      <c r="M15" s="25">
        <v>49.617149353000002</v>
      </c>
      <c r="N15" s="25">
        <v>53.695392608600002</v>
      </c>
      <c r="O15" s="25">
        <v>47.683452606199999</v>
      </c>
      <c r="P15" s="25">
        <v>10.6334447861</v>
      </c>
      <c r="Q15" s="25">
        <v>8.0429553985600002</v>
      </c>
      <c r="R15" s="25">
        <v>56.502319335899998</v>
      </c>
      <c r="S15" s="25">
        <v>8.84902477264</v>
      </c>
      <c r="T15" s="25">
        <v>55.353691101099997</v>
      </c>
      <c r="U15" s="37">
        <v>50.510261535600002</v>
      </c>
    </row>
    <row r="16" spans="1:21" x14ac:dyDescent="0.25">
      <c r="A16" s="36">
        <v>52.587486267099997</v>
      </c>
      <c r="B16" s="25">
        <v>58.412647247300001</v>
      </c>
      <c r="C16" s="25">
        <v>58.684967041</v>
      </c>
      <c r="D16" s="25">
        <v>47.1999168396</v>
      </c>
      <c r="E16" s="25">
        <v>25.677585601800001</v>
      </c>
      <c r="F16" s="25">
        <v>47.084068298299997</v>
      </c>
      <c r="G16" s="25">
        <v>55.824184417700003</v>
      </c>
      <c r="H16" s="25">
        <v>56.927871704099999</v>
      </c>
      <c r="I16" s="25">
        <v>53.292274475100001</v>
      </c>
      <c r="J16" s="37">
        <v>50.090503692600002</v>
      </c>
      <c r="L16" s="36">
        <v>52.4753799438</v>
      </c>
      <c r="M16" s="25">
        <v>100.00705719</v>
      </c>
      <c r="N16" s="25">
        <v>58.534767150900002</v>
      </c>
      <c r="O16" s="25">
        <v>100.00667572</v>
      </c>
      <c r="P16" s="25">
        <v>25.704406738300001</v>
      </c>
      <c r="Q16" s="25">
        <v>100.006362915</v>
      </c>
      <c r="R16" s="25">
        <v>100.006225586</v>
      </c>
      <c r="S16" s="25">
        <v>100.006652832</v>
      </c>
      <c r="T16" s="25">
        <v>53.166843414299997</v>
      </c>
      <c r="U16" s="37">
        <v>100.00579071</v>
      </c>
    </row>
    <row r="17" spans="1:28" x14ac:dyDescent="0.25">
      <c r="A17" s="38" t="s">
        <v>44</v>
      </c>
      <c r="B17" s="28" t="s">
        <v>45</v>
      </c>
      <c r="C17" s="28" t="s">
        <v>46</v>
      </c>
      <c r="D17" s="28" t="s">
        <v>47</v>
      </c>
      <c r="E17" s="28" t="s">
        <v>48</v>
      </c>
      <c r="F17" s="28" t="s">
        <v>49</v>
      </c>
      <c r="G17" s="28" t="s">
        <v>50</v>
      </c>
      <c r="H17" s="28" t="s">
        <v>51</v>
      </c>
      <c r="I17" s="28" t="s">
        <v>52</v>
      </c>
      <c r="J17" s="39" t="s">
        <v>53</v>
      </c>
      <c r="L17" s="38" t="s">
        <v>44</v>
      </c>
      <c r="M17" s="28" t="s">
        <v>45</v>
      </c>
      <c r="N17" s="28" t="s">
        <v>46</v>
      </c>
      <c r="O17" s="28" t="s">
        <v>47</v>
      </c>
      <c r="P17" s="28" t="s">
        <v>48</v>
      </c>
      <c r="Q17" s="28" t="s">
        <v>49</v>
      </c>
      <c r="R17" s="28" t="s">
        <v>50</v>
      </c>
      <c r="S17" s="28" t="s">
        <v>51</v>
      </c>
      <c r="T17" s="28" t="s">
        <v>52</v>
      </c>
      <c r="U17" s="39" t="s">
        <v>53</v>
      </c>
    </row>
    <row r="18" spans="1:28" x14ac:dyDescent="0.25">
      <c r="A18" s="36">
        <v>48.0863113403</v>
      </c>
      <c r="B18" s="25">
        <v>51.750328064000001</v>
      </c>
      <c r="C18" s="25">
        <v>55.319931030299998</v>
      </c>
      <c r="D18" s="25">
        <v>42.141487121600001</v>
      </c>
      <c r="E18" s="25">
        <v>53.522991180399998</v>
      </c>
      <c r="F18" s="25">
        <v>54.160999298100002</v>
      </c>
      <c r="G18" s="25">
        <v>55.267642974899999</v>
      </c>
      <c r="H18" s="25">
        <v>57.011817932100001</v>
      </c>
      <c r="I18" s="25">
        <v>56.612705230700001</v>
      </c>
      <c r="J18" s="37">
        <v>52.698280334499998</v>
      </c>
      <c r="L18" s="36">
        <v>48.075412750200002</v>
      </c>
      <c r="M18" s="25">
        <v>51.733993530299998</v>
      </c>
      <c r="N18" s="25">
        <v>55.277061462399999</v>
      </c>
      <c r="O18" s="25">
        <v>42.158031463599997</v>
      </c>
      <c r="P18" s="25">
        <v>53.4827461243</v>
      </c>
      <c r="Q18" s="25">
        <v>54.151081085199998</v>
      </c>
      <c r="R18" s="25">
        <v>55.236793518100001</v>
      </c>
      <c r="S18" s="25">
        <v>56.958412170400003</v>
      </c>
      <c r="T18" s="25">
        <v>56.578422546399999</v>
      </c>
      <c r="U18" s="37">
        <v>52.672721862800003</v>
      </c>
    </row>
    <row r="19" spans="1:28" x14ac:dyDescent="0.25">
      <c r="A19" s="36">
        <v>37.599300384499998</v>
      </c>
      <c r="B19" s="25">
        <v>57.842327117899998</v>
      </c>
      <c r="C19" s="25">
        <v>58.610916137700002</v>
      </c>
      <c r="D19" s="25">
        <v>53.384326934800001</v>
      </c>
      <c r="E19" s="25">
        <v>34.319664001500001</v>
      </c>
      <c r="F19" s="25">
        <v>40.506698608400001</v>
      </c>
      <c r="G19" s="25">
        <v>54.225112914999997</v>
      </c>
      <c r="H19" s="25">
        <v>9.3522310257000001</v>
      </c>
      <c r="I19" s="25">
        <v>56.681800842299999</v>
      </c>
      <c r="J19" s="37">
        <v>52.411987304699998</v>
      </c>
      <c r="L19" s="36">
        <v>37.582851409900002</v>
      </c>
      <c r="M19" s="25">
        <v>57.680583953899998</v>
      </c>
      <c r="N19" s="25">
        <v>75.201538085899998</v>
      </c>
      <c r="O19" s="25">
        <v>100.00627136200001</v>
      </c>
      <c r="P19" s="25">
        <v>100.006774902</v>
      </c>
      <c r="Q19" s="25">
        <v>100.00655365</v>
      </c>
      <c r="R19" s="25">
        <v>100.00629425</v>
      </c>
      <c r="S19" s="25">
        <v>9.3500375747700009</v>
      </c>
      <c r="T19" s="25">
        <v>56.559635162399999</v>
      </c>
      <c r="U19" s="37">
        <v>52.313541412399999</v>
      </c>
    </row>
    <row r="20" spans="1:28" x14ac:dyDescent="0.25">
      <c r="A20" s="38" t="s">
        <v>54</v>
      </c>
      <c r="B20" s="28" t="s">
        <v>55</v>
      </c>
      <c r="C20" s="28" t="s">
        <v>56</v>
      </c>
      <c r="D20" s="28" t="s">
        <v>57</v>
      </c>
      <c r="E20" s="28" t="s">
        <v>58</v>
      </c>
      <c r="F20" s="28" t="s">
        <v>59</v>
      </c>
      <c r="G20" s="28" t="s">
        <v>60</v>
      </c>
      <c r="H20" s="28" t="s">
        <v>61</v>
      </c>
      <c r="I20" s="28" t="s">
        <v>62</v>
      </c>
      <c r="J20" s="39" t="s">
        <v>63</v>
      </c>
      <c r="L20" s="38" t="s">
        <v>54</v>
      </c>
      <c r="M20" s="28" t="s">
        <v>55</v>
      </c>
      <c r="N20" s="28" t="s">
        <v>56</v>
      </c>
      <c r="O20" s="28" t="s">
        <v>57</v>
      </c>
      <c r="P20" s="28" t="s">
        <v>58</v>
      </c>
      <c r="Q20" s="28" t="s">
        <v>59</v>
      </c>
      <c r="R20" s="28" t="s">
        <v>60</v>
      </c>
      <c r="S20" s="28" t="s">
        <v>61</v>
      </c>
      <c r="T20" s="28" t="s">
        <v>62</v>
      </c>
      <c r="U20" s="39" t="s">
        <v>63</v>
      </c>
    </row>
    <row r="21" spans="1:28" x14ac:dyDescent="0.25">
      <c r="A21" s="36">
        <v>49.584293365500002</v>
      </c>
      <c r="B21" s="25">
        <v>54.625820159900002</v>
      </c>
      <c r="C21" s="25">
        <v>1.9701719284100001</v>
      </c>
      <c r="D21" s="25">
        <v>52.2554855347</v>
      </c>
      <c r="E21" s="25">
        <v>19.542455673199999</v>
      </c>
      <c r="F21" s="25">
        <v>55.414508819600002</v>
      </c>
      <c r="G21" s="25">
        <v>56.1532249451</v>
      </c>
      <c r="H21" s="25">
        <v>50.013015747099999</v>
      </c>
      <c r="I21" s="25">
        <v>49.113178253199997</v>
      </c>
      <c r="J21" s="37">
        <v>51.545097351099997</v>
      </c>
      <c r="L21" s="36">
        <v>49.561096191399997</v>
      </c>
      <c r="M21" s="25">
        <v>54.298995971700002</v>
      </c>
      <c r="N21" s="25">
        <v>1.9672632217399999</v>
      </c>
      <c r="O21" s="25">
        <v>52.292297363300001</v>
      </c>
      <c r="P21" s="25">
        <v>19.8815116882</v>
      </c>
      <c r="Q21" s="25">
        <v>55.300666809100001</v>
      </c>
      <c r="R21" s="25">
        <v>56.1034698486</v>
      </c>
      <c r="S21" s="25">
        <v>50.016166687000002</v>
      </c>
      <c r="T21" s="25">
        <v>49.230075836200001</v>
      </c>
      <c r="U21" s="37">
        <v>51.509857177699999</v>
      </c>
    </row>
    <row r="22" spans="1:28" x14ac:dyDescent="0.25">
      <c r="A22" s="36">
        <v>37.608646392799997</v>
      </c>
      <c r="B22" s="25">
        <v>54.942775726299999</v>
      </c>
      <c r="C22" s="25">
        <v>57.707069396999998</v>
      </c>
      <c r="D22" s="25">
        <v>57.089210510299999</v>
      </c>
      <c r="E22" s="25">
        <v>57.710384368900002</v>
      </c>
      <c r="F22" s="25">
        <v>57.767581939700001</v>
      </c>
      <c r="G22" s="25">
        <v>58.454940795900001</v>
      </c>
      <c r="H22" s="25">
        <v>58.550880432100001</v>
      </c>
      <c r="I22" s="25">
        <v>58.007575988799999</v>
      </c>
      <c r="J22" s="37">
        <v>52.639915466300003</v>
      </c>
      <c r="L22" s="36">
        <v>37.546657562299998</v>
      </c>
      <c r="M22" s="25">
        <v>54.807113647500003</v>
      </c>
      <c r="N22" s="25">
        <v>100.006484985</v>
      </c>
      <c r="O22" s="25">
        <v>100.007225037</v>
      </c>
      <c r="P22" s="25">
        <v>100.006629944</v>
      </c>
      <c r="Q22" s="25">
        <v>100.00627136200001</v>
      </c>
      <c r="R22" s="25">
        <v>58.306217193599998</v>
      </c>
      <c r="S22" s="25">
        <v>58.423542022699998</v>
      </c>
      <c r="T22" s="25">
        <v>57.847118377699999</v>
      </c>
      <c r="U22" s="37">
        <v>52.459217071499999</v>
      </c>
    </row>
    <row r="23" spans="1:28" x14ac:dyDescent="0.25">
      <c r="A23" s="38" t="s">
        <v>64</v>
      </c>
      <c r="B23" s="28" t="s">
        <v>65</v>
      </c>
      <c r="C23" s="28" t="s">
        <v>66</v>
      </c>
      <c r="D23" s="28" t="s">
        <v>67</v>
      </c>
      <c r="E23" s="28" t="s">
        <v>68</v>
      </c>
      <c r="F23" s="28" t="s">
        <v>69</v>
      </c>
      <c r="G23" s="28" t="s">
        <v>70</v>
      </c>
      <c r="H23" s="28" t="s">
        <v>71</v>
      </c>
      <c r="I23" s="28" t="s">
        <v>72</v>
      </c>
      <c r="J23" s="39" t="s">
        <v>73</v>
      </c>
      <c r="L23" s="38" t="s">
        <v>64</v>
      </c>
      <c r="M23" s="28" t="s">
        <v>65</v>
      </c>
      <c r="N23" s="28" t="s">
        <v>66</v>
      </c>
      <c r="O23" s="28" t="s">
        <v>67</v>
      </c>
      <c r="P23" s="28" t="s">
        <v>68</v>
      </c>
      <c r="Q23" s="28" t="s">
        <v>69</v>
      </c>
      <c r="R23" s="28" t="s">
        <v>70</v>
      </c>
      <c r="S23" s="28" t="s">
        <v>71</v>
      </c>
      <c r="T23" s="28" t="s">
        <v>72</v>
      </c>
      <c r="U23" s="39" t="s">
        <v>73</v>
      </c>
    </row>
    <row r="24" spans="1:28" x14ac:dyDescent="0.25">
      <c r="A24" s="36">
        <v>12.4815702438</v>
      </c>
      <c r="B24" s="25">
        <v>54.040622711200001</v>
      </c>
      <c r="C24" s="25">
        <v>55.885505676299999</v>
      </c>
      <c r="D24" s="25">
        <v>32.851791381799998</v>
      </c>
      <c r="E24" s="25">
        <v>55.317996978799997</v>
      </c>
      <c r="F24" s="25">
        <v>56.102226257300003</v>
      </c>
      <c r="G24" s="25">
        <v>0.224637985229</v>
      </c>
      <c r="H24" s="25">
        <v>56.843994140600003</v>
      </c>
      <c r="I24" s="25">
        <v>54.869842529300001</v>
      </c>
      <c r="J24" s="37">
        <v>50.086475372300001</v>
      </c>
      <c r="L24" s="36">
        <v>100.010368347</v>
      </c>
      <c r="M24" s="25">
        <v>54.004646301299999</v>
      </c>
      <c r="N24" s="25">
        <v>55.8583030701</v>
      </c>
      <c r="O24" s="25">
        <v>32.886577606199999</v>
      </c>
      <c r="P24" s="25">
        <v>55.2744369507</v>
      </c>
      <c r="Q24" s="25">
        <v>56.044315338099999</v>
      </c>
      <c r="R24" s="25">
        <v>0.227189064026</v>
      </c>
      <c r="S24" s="25">
        <v>56.814838409399997</v>
      </c>
      <c r="T24" s="25">
        <v>54.799270629900001</v>
      </c>
      <c r="U24" s="37">
        <v>100.010993958</v>
      </c>
    </row>
    <row r="25" spans="1:28" x14ac:dyDescent="0.25">
      <c r="A25" s="33"/>
      <c r="B25" s="25">
        <v>53.106117248499999</v>
      </c>
      <c r="C25" s="25">
        <v>55.761051178000002</v>
      </c>
      <c r="D25" s="25">
        <v>57.724975585899998</v>
      </c>
      <c r="E25" s="25">
        <v>52.286647796600001</v>
      </c>
      <c r="F25" s="25">
        <v>9.8224163055399991</v>
      </c>
      <c r="G25" s="25">
        <v>58.992553710899998</v>
      </c>
      <c r="H25" s="25">
        <v>59.020637512199997</v>
      </c>
      <c r="I25" s="25">
        <v>56.094264984100001</v>
      </c>
      <c r="J25" s="35"/>
      <c r="L25" s="47"/>
      <c r="M25" s="25">
        <v>52.9560317993</v>
      </c>
      <c r="N25" s="25">
        <v>78.116058349599996</v>
      </c>
      <c r="O25" s="25">
        <v>100.006195068</v>
      </c>
      <c r="P25" s="25">
        <v>52.094696044899997</v>
      </c>
      <c r="Q25" s="25">
        <v>100.005935669</v>
      </c>
      <c r="R25" s="25">
        <v>100.006126404</v>
      </c>
      <c r="S25" s="25">
        <v>100.006530762</v>
      </c>
      <c r="T25" s="25">
        <v>55.906200408899998</v>
      </c>
      <c r="U25" s="49"/>
    </row>
    <row r="26" spans="1:28" x14ac:dyDescent="0.25">
      <c r="A26" s="33"/>
      <c r="B26" s="28" t="s">
        <v>74</v>
      </c>
      <c r="C26" s="28" t="s">
        <v>75</v>
      </c>
      <c r="D26" s="28" t="s">
        <v>76</v>
      </c>
      <c r="E26" s="28" t="s">
        <v>77</v>
      </c>
      <c r="F26" s="28" t="s">
        <v>78</v>
      </c>
      <c r="G26" s="28" t="s">
        <v>79</v>
      </c>
      <c r="H26" s="28" t="s">
        <v>80</v>
      </c>
      <c r="I26" s="28" t="s">
        <v>81</v>
      </c>
      <c r="J26" s="35"/>
      <c r="L26" s="47"/>
      <c r="M26" s="28" t="s">
        <v>74</v>
      </c>
      <c r="N26" s="28" t="s">
        <v>75</v>
      </c>
      <c r="O26" s="28" t="s">
        <v>76</v>
      </c>
      <c r="P26" s="28" t="s">
        <v>77</v>
      </c>
      <c r="Q26" s="28" t="s">
        <v>78</v>
      </c>
      <c r="R26" s="28" t="s">
        <v>79</v>
      </c>
      <c r="S26" s="28" t="s">
        <v>80</v>
      </c>
      <c r="T26" s="28" t="s">
        <v>81</v>
      </c>
      <c r="U26" s="49"/>
    </row>
    <row r="27" spans="1:28" x14ac:dyDescent="0.25">
      <c r="A27" s="33"/>
      <c r="B27" s="25">
        <v>8.1658601760899998</v>
      </c>
      <c r="C27" s="25">
        <v>10.1923465729</v>
      </c>
      <c r="D27" s="25">
        <v>40.232421875</v>
      </c>
      <c r="E27" s="25">
        <v>7.9571723937999996</v>
      </c>
      <c r="F27" s="25">
        <v>55.409740448000001</v>
      </c>
      <c r="G27" s="25">
        <v>53.804634094199997</v>
      </c>
      <c r="H27" s="25">
        <v>55.169582366900002</v>
      </c>
      <c r="I27" s="25">
        <v>51.263282775900002</v>
      </c>
      <c r="J27" s="35"/>
      <c r="L27" s="47"/>
      <c r="M27" s="25">
        <v>0.233173370361</v>
      </c>
      <c r="N27" s="25">
        <v>10.196805000299999</v>
      </c>
      <c r="O27" s="25">
        <v>40.688133239700001</v>
      </c>
      <c r="P27" s="25">
        <v>7.9596996307400003</v>
      </c>
      <c r="Q27" s="25">
        <v>55.3851623535</v>
      </c>
      <c r="R27" s="25">
        <v>53.813529968300003</v>
      </c>
      <c r="S27" s="25">
        <v>55.130050659200002</v>
      </c>
      <c r="T27" s="25">
        <v>100.010108948</v>
      </c>
      <c r="U27" s="49"/>
    </row>
    <row r="28" spans="1:28" x14ac:dyDescent="0.25">
      <c r="A28" s="33"/>
      <c r="B28" s="34"/>
      <c r="C28" s="27">
        <v>-2.3245811462399998E-2</v>
      </c>
      <c r="D28" s="27">
        <v>53.9749603271</v>
      </c>
      <c r="E28" s="27">
        <v>35.9186897278</v>
      </c>
      <c r="F28" s="27">
        <v>44.273735046399999</v>
      </c>
      <c r="G28" s="27">
        <v>57.0133934021</v>
      </c>
      <c r="H28" s="27">
        <v>55.004264831500002</v>
      </c>
      <c r="I28" s="34"/>
      <c r="J28" s="35"/>
      <c r="L28" s="47"/>
      <c r="M28" s="48"/>
      <c r="N28" s="27">
        <v>1.9598007202100001E-2</v>
      </c>
      <c r="O28" s="27">
        <v>53.772140502900001</v>
      </c>
      <c r="P28" s="27">
        <v>35.896347045900001</v>
      </c>
      <c r="Q28" s="27">
        <v>44.180679321299998</v>
      </c>
      <c r="R28" s="27">
        <v>56.866001129200001</v>
      </c>
      <c r="S28" s="27">
        <v>54.797290801999999</v>
      </c>
      <c r="T28" s="48"/>
      <c r="U28" s="49"/>
    </row>
    <row r="29" spans="1:28" x14ac:dyDescent="0.25">
      <c r="A29" s="33"/>
      <c r="B29" s="34"/>
      <c r="C29" s="28" t="s">
        <v>82</v>
      </c>
      <c r="D29" s="28" t="s">
        <v>83</v>
      </c>
      <c r="E29" s="28" t="s">
        <v>84</v>
      </c>
      <c r="F29" s="28" t="s">
        <v>85</v>
      </c>
      <c r="G29" s="28" t="s">
        <v>86</v>
      </c>
      <c r="H29" s="28" t="s">
        <v>87</v>
      </c>
      <c r="I29" s="34"/>
      <c r="J29" s="35"/>
      <c r="L29" s="47"/>
      <c r="M29" s="48"/>
      <c r="N29" s="28" t="s">
        <v>82</v>
      </c>
      <c r="O29" s="28" t="s">
        <v>83</v>
      </c>
      <c r="P29" s="28" t="s">
        <v>84</v>
      </c>
      <c r="Q29" s="28" t="s">
        <v>85</v>
      </c>
      <c r="R29" s="28" t="s">
        <v>86</v>
      </c>
      <c r="S29" s="28" t="s">
        <v>87</v>
      </c>
      <c r="T29" s="48"/>
      <c r="U29" s="49"/>
    </row>
    <row r="30" spans="1:28" ht="15.75" thickBot="1" x14ac:dyDescent="0.3">
      <c r="A30" s="40"/>
      <c r="B30" s="41"/>
      <c r="C30" s="42">
        <v>37.397407531699997</v>
      </c>
      <c r="D30" s="42">
        <v>27.110553741499999</v>
      </c>
      <c r="E30" s="42">
        <v>55.5163879395</v>
      </c>
      <c r="F30" s="42">
        <v>55.609607696499999</v>
      </c>
      <c r="G30" s="42">
        <v>53.651763916</v>
      </c>
      <c r="H30" s="42">
        <v>50.761459350599999</v>
      </c>
      <c r="I30" s="41"/>
      <c r="J30" s="43"/>
      <c r="L30" s="50"/>
      <c r="M30" s="51"/>
      <c r="N30" s="42">
        <v>64.777565002399996</v>
      </c>
      <c r="O30" s="42">
        <v>100.01094055199999</v>
      </c>
      <c r="P30" s="42">
        <v>55.392574310299999</v>
      </c>
      <c r="Q30" s="42">
        <v>55.544067382800002</v>
      </c>
      <c r="R30" s="42">
        <v>53.607200622599997</v>
      </c>
      <c r="S30" s="42">
        <v>100.010299683</v>
      </c>
      <c r="T30" s="51"/>
      <c r="U30" s="52"/>
    </row>
    <row r="32" spans="1:28" ht="15.75" thickBot="1" x14ac:dyDescent="0.3">
      <c r="AA32" s="58" t="s">
        <v>92</v>
      </c>
      <c r="AB32" s="59">
        <v>1</v>
      </c>
    </row>
    <row r="33" spans="1:28" ht="23.25" x14ac:dyDescent="0.25">
      <c r="A33" s="1"/>
      <c r="B33" s="3"/>
      <c r="C33" s="5">
        <f>MAX(IF(C1&gt;=$M$34,N1,C1),IF(N1&gt;=$M$34,C1,N1))</f>
        <v>4.0528059005700001</v>
      </c>
      <c r="D33" s="5">
        <f t="shared" ref="D33:H33" si="0">MAX(IF(D1&gt;=$M$34,O1,D1),IF(O1&gt;=$M$34,D1,O1))</f>
        <v>47.337604522699998</v>
      </c>
      <c r="E33" s="5">
        <f t="shared" si="0"/>
        <v>1.22785568237E-2</v>
      </c>
      <c r="F33" s="5">
        <f t="shared" si="0"/>
        <v>7.3434114456200001</v>
      </c>
      <c r="G33" s="5">
        <f t="shared" si="0"/>
        <v>49.3135223389</v>
      </c>
      <c r="H33" s="5">
        <f t="shared" si="0"/>
        <v>0.46055316925000001</v>
      </c>
      <c r="I33" s="1"/>
      <c r="J33" s="1"/>
      <c r="K33" s="92">
        <f>COUNTIF(A33:J33,"&gt;="&amp;$M$34)</f>
        <v>0</v>
      </c>
      <c r="M33" s="56" t="s">
        <v>182</v>
      </c>
      <c r="N33" s="91" t="s">
        <v>195</v>
      </c>
      <c r="AA33" s="58" t="s">
        <v>93</v>
      </c>
      <c r="AB33" s="59">
        <v>2</v>
      </c>
    </row>
    <row r="34" spans="1:28" x14ac:dyDescent="0.25">
      <c r="A34" s="2"/>
      <c r="B34" s="4"/>
      <c r="C34" s="6" t="s">
        <v>0</v>
      </c>
      <c r="D34" s="7" t="s">
        <v>1</v>
      </c>
      <c r="E34" s="6" t="s">
        <v>2</v>
      </c>
      <c r="F34" s="6" t="s">
        <v>3</v>
      </c>
      <c r="G34" s="8" t="s">
        <v>4</v>
      </c>
      <c r="H34" s="6" t="s">
        <v>5</v>
      </c>
      <c r="I34" s="2"/>
      <c r="J34" s="2"/>
      <c r="K34" s="93">
        <v>0</v>
      </c>
      <c r="M34" s="90">
        <v>90</v>
      </c>
      <c r="N34" s="90">
        <f>SUM(K33:K62)</f>
        <v>0</v>
      </c>
      <c r="AA34" s="58" t="s">
        <v>94</v>
      </c>
      <c r="AB34" s="59">
        <v>3</v>
      </c>
    </row>
    <row r="35" spans="1:28" x14ac:dyDescent="0.25">
      <c r="A35" s="2"/>
      <c r="B35" s="4"/>
      <c r="C35" s="5">
        <f t="shared" ref="C35:H36" si="1">MAX(IF(C3&gt;=$M$34,N3,C3),IF(N3&gt;=$M$34,C3,N3))</f>
        <v>67.382598877000007</v>
      </c>
      <c r="D35" s="5">
        <f t="shared" si="1"/>
        <v>1.23023986816E-2</v>
      </c>
      <c r="E35" s="5">
        <f t="shared" si="1"/>
        <v>48.531486511200001</v>
      </c>
      <c r="F35" s="5">
        <f t="shared" si="1"/>
        <v>51.010036468499997</v>
      </c>
      <c r="G35" s="5">
        <f t="shared" si="1"/>
        <v>9.0916872024500002</v>
      </c>
      <c r="H35" s="5">
        <f t="shared" si="1"/>
        <v>7.7056884765600006E-2</v>
      </c>
      <c r="I35" s="2"/>
      <c r="J35" s="2"/>
      <c r="K35" s="92">
        <f t="shared" ref="K35:K62" si="2">COUNTIF(A35:J35,"&gt;="&amp;$M$34)</f>
        <v>0</v>
      </c>
      <c r="AA35" s="58" t="s">
        <v>95</v>
      </c>
      <c r="AB35" s="59">
        <v>4</v>
      </c>
    </row>
    <row r="36" spans="1:28" x14ac:dyDescent="0.25">
      <c r="A36" s="2"/>
      <c r="B36" s="5">
        <f>MAX(IF(B4&gt;=$M$34,M4,B4),IF(M4&gt;=$M$34,B4,M4))</f>
        <v>22.4112033844</v>
      </c>
      <c r="C36" s="5">
        <f t="shared" si="1"/>
        <v>0.48232078552199997</v>
      </c>
      <c r="D36" s="5">
        <f t="shared" si="1"/>
        <v>64.797119140600003</v>
      </c>
      <c r="E36" s="5">
        <f t="shared" si="1"/>
        <v>7.0571899414099996E-3</v>
      </c>
      <c r="F36" s="5">
        <f t="shared" si="1"/>
        <v>50.831626892099997</v>
      </c>
      <c r="G36" s="5">
        <f t="shared" si="1"/>
        <v>50.209785461400003</v>
      </c>
      <c r="H36" s="5">
        <f t="shared" si="1"/>
        <v>48.427604675300003</v>
      </c>
      <c r="I36" s="5">
        <f>MAX(IF(I4&gt;=$M$34,T4,I4),IF(T4&gt;=$M$34,I4,T4))</f>
        <v>46.966053008999999</v>
      </c>
      <c r="J36" s="2"/>
      <c r="K36" s="92">
        <f t="shared" si="2"/>
        <v>0</v>
      </c>
      <c r="M36" s="55" t="s">
        <v>180</v>
      </c>
      <c r="N36" s="55"/>
      <c r="AA36" s="58" t="s">
        <v>96</v>
      </c>
      <c r="AB36" s="59">
        <v>5</v>
      </c>
    </row>
    <row r="37" spans="1:28" x14ac:dyDescent="0.25">
      <c r="A37" s="2"/>
      <c r="B37" s="6" t="s">
        <v>6</v>
      </c>
      <c r="C37" s="6" t="s">
        <v>7</v>
      </c>
      <c r="D37" s="7" t="s">
        <v>8</v>
      </c>
      <c r="E37" s="6" t="s">
        <v>9</v>
      </c>
      <c r="F37" s="6" t="s">
        <v>10</v>
      </c>
      <c r="G37" s="8" t="s">
        <v>11</v>
      </c>
      <c r="H37" s="6" t="s">
        <v>12</v>
      </c>
      <c r="I37" s="6" t="s">
        <v>13</v>
      </c>
      <c r="J37" s="2"/>
      <c r="K37" s="93">
        <v>0</v>
      </c>
      <c r="M37" s="55"/>
      <c r="N37" s="55" t="s">
        <v>196</v>
      </c>
      <c r="AA37" s="58" t="s">
        <v>97</v>
      </c>
      <c r="AB37" s="59">
        <v>6</v>
      </c>
    </row>
    <row r="38" spans="1:28" x14ac:dyDescent="0.25">
      <c r="A38" s="2"/>
      <c r="B38" s="5">
        <f t="shared" ref="B38:I39" si="3">MAX(IF(B6&gt;=$M$34,M6,B6),IF(M6&gt;=$M$34,B6,M6))</f>
        <v>45.256851196299998</v>
      </c>
      <c r="C38" s="5">
        <f t="shared" si="3"/>
        <v>13.323354721099999</v>
      </c>
      <c r="D38" s="5">
        <f t="shared" si="3"/>
        <v>1.0585784912100001E-2</v>
      </c>
      <c r="E38" s="5">
        <f t="shared" si="3"/>
        <v>6.8073511123700001</v>
      </c>
      <c r="F38" s="5">
        <f t="shared" si="3"/>
        <v>54.588172912600001</v>
      </c>
      <c r="G38" s="5">
        <f t="shared" si="3"/>
        <v>58.147216796899997</v>
      </c>
      <c r="H38" s="5">
        <f t="shared" si="3"/>
        <v>33.112812042199998</v>
      </c>
      <c r="I38" s="5">
        <f t="shared" si="3"/>
        <v>7.68938064575</v>
      </c>
      <c r="J38" s="2"/>
      <c r="K38" s="92">
        <f t="shared" si="2"/>
        <v>0</v>
      </c>
      <c r="M38" s="55"/>
      <c r="N38" s="55" t="s">
        <v>183</v>
      </c>
      <c r="AA38" s="58" t="s">
        <v>98</v>
      </c>
      <c r="AB38" s="59">
        <v>7</v>
      </c>
    </row>
    <row r="39" spans="1:28" x14ac:dyDescent="0.25">
      <c r="A39" s="5">
        <f>MAX(IF(A7&gt;=$M$34,L7,A7),IF(L7&gt;=$M$34,A7,L7))</f>
        <v>46.3417510986</v>
      </c>
      <c r="B39" s="5">
        <f t="shared" si="3"/>
        <v>51.976322174099998</v>
      </c>
      <c r="C39" s="5">
        <f t="shared" si="3"/>
        <v>57.6554794312</v>
      </c>
      <c r="D39" s="5">
        <f t="shared" si="3"/>
        <v>45.4015731812</v>
      </c>
      <c r="E39" s="5">
        <f t="shared" si="3"/>
        <v>58.295558929400002</v>
      </c>
      <c r="F39" s="5">
        <f t="shared" si="3"/>
        <v>64.9086227417</v>
      </c>
      <c r="G39" s="5">
        <f t="shared" si="3"/>
        <v>49.731277465799998</v>
      </c>
      <c r="H39" s="5">
        <f t="shared" si="3"/>
        <v>0.91063976287799997</v>
      </c>
      <c r="I39" s="5">
        <f t="shared" si="3"/>
        <v>46.3219146729</v>
      </c>
      <c r="J39" s="5">
        <f>MAX(IF(J7&gt;=$M$34,U7,J7),IF(U7&gt;=$M$34,J7,U7))</f>
        <v>13.540339469899999</v>
      </c>
      <c r="K39" s="92">
        <f t="shared" si="2"/>
        <v>0</v>
      </c>
      <c r="AA39" s="58" t="s">
        <v>99</v>
      </c>
      <c r="AB39" s="59">
        <v>8</v>
      </c>
    </row>
    <row r="40" spans="1:28" x14ac:dyDescent="0.25">
      <c r="A40" s="6" t="s">
        <v>14</v>
      </c>
      <c r="B40" s="6" t="s">
        <v>15</v>
      </c>
      <c r="C40" s="6" t="s">
        <v>16</v>
      </c>
      <c r="D40" s="7" t="s">
        <v>17</v>
      </c>
      <c r="E40" s="6" t="s">
        <v>18</v>
      </c>
      <c r="F40" s="6" t="s">
        <v>19</v>
      </c>
      <c r="G40" s="8" t="s">
        <v>20</v>
      </c>
      <c r="H40" s="6" t="s">
        <v>21</v>
      </c>
      <c r="I40" s="6" t="s">
        <v>22</v>
      </c>
      <c r="J40" s="7" t="s">
        <v>23</v>
      </c>
      <c r="K40" s="93">
        <v>0</v>
      </c>
      <c r="AA40" s="58" t="s">
        <v>100</v>
      </c>
      <c r="AB40" s="59">
        <v>9</v>
      </c>
    </row>
    <row r="41" spans="1:28" x14ac:dyDescent="0.25">
      <c r="A41" s="5">
        <f t="shared" ref="A41:J42" si="4">MAX(IF(A9&gt;=$M$34,L9,A9),IF(L9&gt;=$M$34,A9,L9))</f>
        <v>15.5643463135</v>
      </c>
      <c r="B41" s="5">
        <f t="shared" si="4"/>
        <v>46.243095397899999</v>
      </c>
      <c r="C41" s="5">
        <f t="shared" si="4"/>
        <v>43.7959213257</v>
      </c>
      <c r="D41" s="5">
        <f t="shared" si="4"/>
        <v>50.608848571800003</v>
      </c>
      <c r="E41" s="5">
        <f t="shared" si="4"/>
        <v>53.627922058099998</v>
      </c>
      <c r="F41" s="5">
        <f t="shared" si="4"/>
        <v>0.123167037964</v>
      </c>
      <c r="G41" s="5">
        <f t="shared" si="4"/>
        <v>58.334041595499997</v>
      </c>
      <c r="H41" s="5">
        <f t="shared" si="4"/>
        <v>57.044528961200001</v>
      </c>
      <c r="I41" s="5">
        <f t="shared" si="4"/>
        <v>52.127742767299999</v>
      </c>
      <c r="J41" s="5">
        <f t="shared" si="4"/>
        <v>77.531906127900001</v>
      </c>
      <c r="K41" s="92">
        <f t="shared" si="2"/>
        <v>0</v>
      </c>
      <c r="AA41" s="58" t="s">
        <v>101</v>
      </c>
      <c r="AB41" s="59">
        <v>10</v>
      </c>
    </row>
    <row r="42" spans="1:28" x14ac:dyDescent="0.25">
      <c r="A42" s="5">
        <f t="shared" si="4"/>
        <v>9.6323251724199999</v>
      </c>
      <c r="B42" s="5">
        <f t="shared" si="4"/>
        <v>54.212615966800001</v>
      </c>
      <c r="C42" s="5">
        <f t="shared" si="4"/>
        <v>26.677799224899999</v>
      </c>
      <c r="D42" s="5">
        <f t="shared" si="4"/>
        <v>45.449924469000003</v>
      </c>
      <c r="E42" s="5">
        <f t="shared" si="4"/>
        <v>36.307693481400001</v>
      </c>
      <c r="F42" s="5">
        <f t="shared" si="4"/>
        <v>57.889221191399997</v>
      </c>
      <c r="G42" s="5">
        <f t="shared" si="4"/>
        <v>55.0791015625</v>
      </c>
      <c r="H42" s="5">
        <f t="shared" si="4"/>
        <v>51.225852966300003</v>
      </c>
      <c r="I42" s="5">
        <f t="shared" si="4"/>
        <v>48.4373817444</v>
      </c>
      <c r="J42" s="5">
        <f t="shared" si="4"/>
        <v>48.008705139200003</v>
      </c>
      <c r="K42" s="92">
        <f t="shared" si="2"/>
        <v>0</v>
      </c>
      <c r="AA42" s="58" t="s">
        <v>102</v>
      </c>
      <c r="AB42" s="59">
        <v>11</v>
      </c>
    </row>
    <row r="43" spans="1:28" x14ac:dyDescent="0.25">
      <c r="A43" s="6" t="s">
        <v>24</v>
      </c>
      <c r="B43" s="6" t="s">
        <v>25</v>
      </c>
      <c r="C43" s="6" t="s">
        <v>26</v>
      </c>
      <c r="D43" s="7" t="s">
        <v>27</v>
      </c>
      <c r="E43" s="6" t="s">
        <v>28</v>
      </c>
      <c r="F43" s="6" t="s">
        <v>29</v>
      </c>
      <c r="G43" s="8" t="s">
        <v>30</v>
      </c>
      <c r="H43" s="6" t="s">
        <v>31</v>
      </c>
      <c r="I43" s="6" t="s">
        <v>32</v>
      </c>
      <c r="J43" s="7" t="s">
        <v>33</v>
      </c>
      <c r="K43" s="93">
        <v>0</v>
      </c>
      <c r="AA43" s="58" t="s">
        <v>103</v>
      </c>
      <c r="AB43" s="59">
        <v>12</v>
      </c>
    </row>
    <row r="44" spans="1:28" x14ac:dyDescent="0.25">
      <c r="A44" s="5">
        <f t="shared" ref="A44:J45" si="5">MAX(IF(A12&gt;=$M$34,L12,A12),IF(L12&gt;=$M$34,A12,L12))</f>
        <v>45.901130676299999</v>
      </c>
      <c r="B44" s="5">
        <f t="shared" si="5"/>
        <v>47.850322723399998</v>
      </c>
      <c r="C44" s="5">
        <f t="shared" si="5"/>
        <v>4.1615009307899999</v>
      </c>
      <c r="D44" s="5">
        <f t="shared" si="5"/>
        <v>2.1316051483199998</v>
      </c>
      <c r="E44" s="5">
        <f t="shared" si="5"/>
        <v>9.8407983779899997</v>
      </c>
      <c r="F44" s="5">
        <f t="shared" si="5"/>
        <v>56.780410766599999</v>
      </c>
      <c r="G44" s="5">
        <f t="shared" si="5"/>
        <v>44.712066650399997</v>
      </c>
      <c r="H44" s="5">
        <f t="shared" si="5"/>
        <v>9.1426372528099993</v>
      </c>
      <c r="I44" s="5">
        <f t="shared" si="5"/>
        <v>53.935096740699997</v>
      </c>
      <c r="J44" s="5">
        <f t="shared" si="5"/>
        <v>48.064086914100002</v>
      </c>
      <c r="K44" s="92">
        <f t="shared" si="2"/>
        <v>0</v>
      </c>
      <c r="AA44" s="58" t="s">
        <v>104</v>
      </c>
      <c r="AB44" s="59">
        <v>13</v>
      </c>
    </row>
    <row r="45" spans="1:28" x14ac:dyDescent="0.25">
      <c r="A45" s="5">
        <f t="shared" si="5"/>
        <v>49.831153869600001</v>
      </c>
      <c r="B45" s="5">
        <f t="shared" si="5"/>
        <v>56.128120422400002</v>
      </c>
      <c r="C45" s="5">
        <f t="shared" si="5"/>
        <v>8.6373090743999992</v>
      </c>
      <c r="D45" s="5">
        <f t="shared" si="5"/>
        <v>29.814481735200001</v>
      </c>
      <c r="E45" s="5">
        <f t="shared" si="5"/>
        <v>19.182443618800001</v>
      </c>
      <c r="F45" s="5">
        <f t="shared" si="5"/>
        <v>52.923847198499999</v>
      </c>
      <c r="G45" s="5">
        <f t="shared" si="5"/>
        <v>56.9588661194</v>
      </c>
      <c r="H45" s="5">
        <f t="shared" si="5"/>
        <v>55.1664123535</v>
      </c>
      <c r="I45" s="5">
        <f t="shared" si="5"/>
        <v>50.902175903299998</v>
      </c>
      <c r="J45" s="5">
        <f t="shared" si="5"/>
        <v>48.445533752400003</v>
      </c>
      <c r="K45" s="92">
        <f t="shared" si="2"/>
        <v>0</v>
      </c>
      <c r="N45" s="94"/>
      <c r="AA45" s="58" t="s">
        <v>105</v>
      </c>
      <c r="AB45" s="59">
        <v>14</v>
      </c>
    </row>
    <row r="46" spans="1:28" x14ac:dyDescent="0.25">
      <c r="A46" s="6" t="s">
        <v>34</v>
      </c>
      <c r="B46" s="6" t="s">
        <v>35</v>
      </c>
      <c r="C46" s="6" t="s">
        <v>36</v>
      </c>
      <c r="D46" s="7" t="s">
        <v>37</v>
      </c>
      <c r="E46" s="6" t="s">
        <v>38</v>
      </c>
      <c r="F46" s="6" t="s">
        <v>39</v>
      </c>
      <c r="G46" s="8" t="s">
        <v>40</v>
      </c>
      <c r="H46" s="6" t="s">
        <v>41</v>
      </c>
      <c r="I46" s="6" t="s">
        <v>42</v>
      </c>
      <c r="J46" s="7" t="s">
        <v>43</v>
      </c>
      <c r="K46" s="93">
        <v>0</v>
      </c>
      <c r="N46"/>
      <c r="AA46" s="58" t="s">
        <v>106</v>
      </c>
      <c r="AB46" s="59">
        <v>15</v>
      </c>
    </row>
    <row r="47" spans="1:28" x14ac:dyDescent="0.25">
      <c r="A47" s="5">
        <f t="shared" ref="A47:J48" si="6">MAX(IF(A15&gt;=$M$34,L15,A15),IF(L15&gt;=$M$34,A15,L15))</f>
        <v>46.939064025900002</v>
      </c>
      <c r="B47" s="5">
        <f t="shared" si="6"/>
        <v>49.833847045900001</v>
      </c>
      <c r="C47" s="5">
        <f t="shared" si="6"/>
        <v>53.722953796399999</v>
      </c>
      <c r="D47" s="5">
        <f t="shared" si="6"/>
        <v>47.683452606199999</v>
      </c>
      <c r="E47" s="5">
        <f t="shared" si="6"/>
        <v>10.6334447861</v>
      </c>
      <c r="F47" s="5">
        <f t="shared" si="6"/>
        <v>8.0429553985600002</v>
      </c>
      <c r="G47" s="5">
        <f t="shared" si="6"/>
        <v>56.534194946299998</v>
      </c>
      <c r="H47" s="5">
        <f t="shared" si="6"/>
        <v>8.84902477264</v>
      </c>
      <c r="I47" s="5">
        <f t="shared" si="6"/>
        <v>55.393959045400003</v>
      </c>
      <c r="J47" s="5">
        <f t="shared" si="6"/>
        <v>50.634479522699998</v>
      </c>
      <c r="K47" s="92">
        <f t="shared" si="2"/>
        <v>0</v>
      </c>
      <c r="AA47" s="58" t="s">
        <v>107</v>
      </c>
      <c r="AB47" s="59">
        <v>16</v>
      </c>
    </row>
    <row r="48" spans="1:28" x14ac:dyDescent="0.25">
      <c r="A48" s="5">
        <f t="shared" si="6"/>
        <v>52.587486267099997</v>
      </c>
      <c r="B48" s="5">
        <f t="shared" si="6"/>
        <v>58.412647247300001</v>
      </c>
      <c r="C48" s="5">
        <f t="shared" si="6"/>
        <v>58.684967041</v>
      </c>
      <c r="D48" s="5">
        <f t="shared" si="6"/>
        <v>47.1999168396</v>
      </c>
      <c r="E48" s="5">
        <f t="shared" si="6"/>
        <v>25.704406738300001</v>
      </c>
      <c r="F48" s="5">
        <f t="shared" si="6"/>
        <v>47.084068298299997</v>
      </c>
      <c r="G48" s="5">
        <f t="shared" si="6"/>
        <v>55.824184417700003</v>
      </c>
      <c r="H48" s="5">
        <f t="shared" si="6"/>
        <v>56.927871704099999</v>
      </c>
      <c r="I48" s="5">
        <f t="shared" si="6"/>
        <v>53.292274475100001</v>
      </c>
      <c r="J48" s="5">
        <f t="shared" si="6"/>
        <v>50.090503692600002</v>
      </c>
      <c r="K48" s="92">
        <f t="shared" si="2"/>
        <v>0</v>
      </c>
      <c r="AA48" s="58" t="s">
        <v>108</v>
      </c>
      <c r="AB48" s="59">
        <v>17</v>
      </c>
    </row>
    <row r="49" spans="1:28" x14ac:dyDescent="0.25">
      <c r="A49" s="6" t="s">
        <v>44</v>
      </c>
      <c r="B49" s="6" t="s">
        <v>45</v>
      </c>
      <c r="C49" s="6" t="s">
        <v>46</v>
      </c>
      <c r="D49" s="7" t="s">
        <v>47</v>
      </c>
      <c r="E49" s="6" t="s">
        <v>48</v>
      </c>
      <c r="F49" s="6" t="s">
        <v>49</v>
      </c>
      <c r="G49" s="8" t="s">
        <v>50</v>
      </c>
      <c r="H49" s="6" t="s">
        <v>51</v>
      </c>
      <c r="I49" s="6" t="s">
        <v>52</v>
      </c>
      <c r="J49" s="7" t="s">
        <v>53</v>
      </c>
      <c r="K49" s="93">
        <v>0</v>
      </c>
      <c r="AA49" s="58" t="s">
        <v>109</v>
      </c>
      <c r="AB49" s="59">
        <v>18</v>
      </c>
    </row>
    <row r="50" spans="1:28" x14ac:dyDescent="0.25">
      <c r="A50" s="5">
        <f t="shared" ref="A50:J51" si="7">MAX(IF(A18&gt;=$M$34,L18,A18),IF(L18&gt;=$M$34,A18,L18))</f>
        <v>48.0863113403</v>
      </c>
      <c r="B50" s="5">
        <f t="shared" si="7"/>
        <v>51.750328064000001</v>
      </c>
      <c r="C50" s="5">
        <f t="shared" si="7"/>
        <v>55.319931030299998</v>
      </c>
      <c r="D50" s="5">
        <f t="shared" si="7"/>
        <v>42.158031463599997</v>
      </c>
      <c r="E50" s="5">
        <f t="shared" si="7"/>
        <v>53.522991180399998</v>
      </c>
      <c r="F50" s="5">
        <f t="shared" si="7"/>
        <v>54.160999298100002</v>
      </c>
      <c r="G50" s="5">
        <f t="shared" si="7"/>
        <v>55.267642974899999</v>
      </c>
      <c r="H50" s="5">
        <f t="shared" si="7"/>
        <v>57.011817932100001</v>
      </c>
      <c r="I50" s="5">
        <f t="shared" si="7"/>
        <v>56.612705230700001</v>
      </c>
      <c r="J50" s="5">
        <f t="shared" si="7"/>
        <v>52.698280334499998</v>
      </c>
      <c r="K50" s="92">
        <f t="shared" si="2"/>
        <v>0</v>
      </c>
      <c r="AA50" s="58" t="s">
        <v>110</v>
      </c>
      <c r="AB50" s="59">
        <v>19</v>
      </c>
    </row>
    <row r="51" spans="1:28" x14ac:dyDescent="0.25">
      <c r="A51" s="5">
        <f t="shared" si="7"/>
        <v>37.599300384499998</v>
      </c>
      <c r="B51" s="5">
        <f t="shared" si="7"/>
        <v>57.842327117899998</v>
      </c>
      <c r="C51" s="5">
        <f t="shared" si="7"/>
        <v>75.201538085899998</v>
      </c>
      <c r="D51" s="5">
        <f t="shared" si="7"/>
        <v>53.384326934800001</v>
      </c>
      <c r="E51" s="5">
        <f t="shared" si="7"/>
        <v>34.319664001500001</v>
      </c>
      <c r="F51" s="5">
        <f t="shared" si="7"/>
        <v>40.506698608400001</v>
      </c>
      <c r="G51" s="5">
        <f t="shared" si="7"/>
        <v>54.225112914999997</v>
      </c>
      <c r="H51" s="5">
        <f t="shared" si="7"/>
        <v>9.3522310257000001</v>
      </c>
      <c r="I51" s="5">
        <f t="shared" si="7"/>
        <v>56.681800842299999</v>
      </c>
      <c r="J51" s="5">
        <f t="shared" si="7"/>
        <v>52.411987304699998</v>
      </c>
      <c r="K51" s="92">
        <f t="shared" si="2"/>
        <v>0</v>
      </c>
      <c r="AA51" s="58" t="s">
        <v>111</v>
      </c>
      <c r="AB51" s="59">
        <v>20</v>
      </c>
    </row>
    <row r="52" spans="1:28" x14ac:dyDescent="0.25">
      <c r="A52" s="6" t="s">
        <v>54</v>
      </c>
      <c r="B52" s="6" t="s">
        <v>55</v>
      </c>
      <c r="C52" s="6" t="s">
        <v>56</v>
      </c>
      <c r="D52" s="7" t="s">
        <v>57</v>
      </c>
      <c r="E52" s="6" t="s">
        <v>58</v>
      </c>
      <c r="F52" s="6" t="s">
        <v>59</v>
      </c>
      <c r="G52" s="8" t="s">
        <v>60</v>
      </c>
      <c r="H52" s="6" t="s">
        <v>61</v>
      </c>
      <c r="I52" s="6" t="s">
        <v>62</v>
      </c>
      <c r="J52" s="7" t="s">
        <v>63</v>
      </c>
      <c r="K52" s="93">
        <v>0</v>
      </c>
      <c r="AA52" s="58" t="s">
        <v>112</v>
      </c>
      <c r="AB52" s="59">
        <v>21</v>
      </c>
    </row>
    <row r="53" spans="1:28" x14ac:dyDescent="0.25">
      <c r="A53" s="5">
        <f t="shared" ref="A53:J54" si="8">MAX(IF(A21&gt;=$M$34,L21,A21),IF(L21&gt;=$M$34,A21,L21))</f>
        <v>49.584293365500002</v>
      </c>
      <c r="B53" s="5">
        <f t="shared" si="8"/>
        <v>54.625820159900002</v>
      </c>
      <c r="C53" s="5">
        <f t="shared" si="8"/>
        <v>1.9701719284100001</v>
      </c>
      <c r="D53" s="5">
        <f t="shared" si="8"/>
        <v>52.292297363300001</v>
      </c>
      <c r="E53" s="5">
        <f t="shared" si="8"/>
        <v>19.8815116882</v>
      </c>
      <c r="F53" s="5">
        <f t="shared" si="8"/>
        <v>55.414508819600002</v>
      </c>
      <c r="G53" s="5">
        <f t="shared" si="8"/>
        <v>56.1532249451</v>
      </c>
      <c r="H53" s="5">
        <f t="shared" si="8"/>
        <v>50.016166687000002</v>
      </c>
      <c r="I53" s="5">
        <f t="shared" si="8"/>
        <v>49.230075836200001</v>
      </c>
      <c r="J53" s="5">
        <f t="shared" si="8"/>
        <v>51.545097351099997</v>
      </c>
      <c r="K53" s="92">
        <f t="shared" si="2"/>
        <v>0</v>
      </c>
      <c r="AA53" s="58" t="s">
        <v>113</v>
      </c>
      <c r="AB53" s="59">
        <v>22</v>
      </c>
    </row>
    <row r="54" spans="1:28" x14ac:dyDescent="0.25">
      <c r="A54" s="5">
        <f t="shared" si="8"/>
        <v>37.608646392799997</v>
      </c>
      <c r="B54" s="5">
        <f t="shared" si="8"/>
        <v>54.942775726299999</v>
      </c>
      <c r="C54" s="5">
        <f t="shared" si="8"/>
        <v>57.707069396999998</v>
      </c>
      <c r="D54" s="5">
        <f t="shared" si="8"/>
        <v>57.089210510299999</v>
      </c>
      <c r="E54" s="5">
        <f t="shared" si="8"/>
        <v>57.710384368900002</v>
      </c>
      <c r="F54" s="5">
        <f t="shared" si="8"/>
        <v>57.767581939700001</v>
      </c>
      <c r="G54" s="5">
        <f t="shared" si="8"/>
        <v>58.454940795900001</v>
      </c>
      <c r="H54" s="5">
        <f t="shared" si="8"/>
        <v>58.550880432100001</v>
      </c>
      <c r="I54" s="5">
        <f t="shared" si="8"/>
        <v>58.007575988799999</v>
      </c>
      <c r="J54" s="5">
        <f t="shared" si="8"/>
        <v>52.639915466300003</v>
      </c>
      <c r="K54" s="92">
        <f t="shared" si="2"/>
        <v>0</v>
      </c>
      <c r="AA54" s="58" t="s">
        <v>114</v>
      </c>
      <c r="AB54" s="59">
        <v>23</v>
      </c>
    </row>
    <row r="55" spans="1:28" x14ac:dyDescent="0.25">
      <c r="A55" s="6" t="s">
        <v>64</v>
      </c>
      <c r="B55" s="6" t="s">
        <v>65</v>
      </c>
      <c r="C55" s="6" t="s">
        <v>66</v>
      </c>
      <c r="D55" s="7" t="s">
        <v>67</v>
      </c>
      <c r="E55" s="6" t="s">
        <v>68</v>
      </c>
      <c r="F55" s="6" t="s">
        <v>69</v>
      </c>
      <c r="G55" s="8" t="s">
        <v>70</v>
      </c>
      <c r="H55" s="6" t="s">
        <v>71</v>
      </c>
      <c r="I55" s="6" t="s">
        <v>72</v>
      </c>
      <c r="J55" s="7" t="s">
        <v>73</v>
      </c>
      <c r="K55" s="93">
        <v>0</v>
      </c>
      <c r="AA55" s="58" t="s">
        <v>115</v>
      </c>
      <c r="AB55" s="59">
        <v>24</v>
      </c>
    </row>
    <row r="56" spans="1:28" ht="15.75" thickBot="1" x14ac:dyDescent="0.3">
      <c r="A56" s="5">
        <f t="shared" ref="A56:J56" si="9">MAX(IF(A24&gt;=$M$34,L24,A24),IF(L24&gt;=$M$34,A24,L24))</f>
        <v>12.4815702438</v>
      </c>
      <c r="B56" s="5">
        <f t="shared" si="9"/>
        <v>54.040622711200001</v>
      </c>
      <c r="C56" s="5">
        <f t="shared" si="9"/>
        <v>55.885505676299999</v>
      </c>
      <c r="D56" s="5">
        <f t="shared" si="9"/>
        <v>32.886577606199999</v>
      </c>
      <c r="E56" s="5">
        <f t="shared" si="9"/>
        <v>55.317996978799997</v>
      </c>
      <c r="F56" s="5">
        <f t="shared" si="9"/>
        <v>56.102226257300003</v>
      </c>
      <c r="G56" s="5">
        <f t="shared" si="9"/>
        <v>0.227189064026</v>
      </c>
      <c r="H56" s="5">
        <f t="shared" si="9"/>
        <v>56.843994140600003</v>
      </c>
      <c r="I56" s="5">
        <f t="shared" si="9"/>
        <v>54.869842529300001</v>
      </c>
      <c r="J56" s="5">
        <f t="shared" si="9"/>
        <v>50.086475372300001</v>
      </c>
      <c r="K56" s="92">
        <f t="shared" si="2"/>
        <v>0</v>
      </c>
      <c r="AA56" s="58" t="s">
        <v>116</v>
      </c>
      <c r="AB56" s="59">
        <v>25</v>
      </c>
    </row>
    <row r="57" spans="1:28" x14ac:dyDescent="0.25">
      <c r="A57" s="1"/>
      <c r="B57" s="5">
        <f t="shared" ref="B57:I57" si="10">MAX(IF(B25&gt;=$M$34,M25,B25),IF(M25&gt;=$M$34,B25,M25))</f>
        <v>53.106117248499999</v>
      </c>
      <c r="C57" s="5">
        <f t="shared" si="10"/>
        <v>78.116058349599996</v>
      </c>
      <c r="D57" s="5">
        <f t="shared" si="10"/>
        <v>57.724975585899998</v>
      </c>
      <c r="E57" s="5">
        <f t="shared" si="10"/>
        <v>52.286647796600001</v>
      </c>
      <c r="F57" s="5">
        <f t="shared" si="10"/>
        <v>9.8224163055399991</v>
      </c>
      <c r="G57" s="5">
        <f t="shared" si="10"/>
        <v>58.992553710899998</v>
      </c>
      <c r="H57" s="5">
        <f t="shared" si="10"/>
        <v>59.020637512199997</v>
      </c>
      <c r="I57" s="5">
        <f t="shared" si="10"/>
        <v>56.094264984100001</v>
      </c>
      <c r="J57" s="1"/>
      <c r="K57" s="92">
        <f t="shared" si="2"/>
        <v>0</v>
      </c>
      <c r="AA57" s="58" t="s">
        <v>117</v>
      </c>
      <c r="AB57" s="59">
        <v>26</v>
      </c>
    </row>
    <row r="58" spans="1:28" x14ac:dyDescent="0.25">
      <c r="A58" s="2"/>
      <c r="B58" s="6" t="s">
        <v>74</v>
      </c>
      <c r="C58" s="6" t="s">
        <v>75</v>
      </c>
      <c r="D58" s="7" t="s">
        <v>76</v>
      </c>
      <c r="E58" s="6" t="s">
        <v>77</v>
      </c>
      <c r="F58" s="6" t="s">
        <v>78</v>
      </c>
      <c r="G58" s="8" t="s">
        <v>79</v>
      </c>
      <c r="H58" s="6" t="s">
        <v>80</v>
      </c>
      <c r="I58" s="6" t="s">
        <v>81</v>
      </c>
      <c r="J58" s="2"/>
      <c r="K58" s="93">
        <v>0</v>
      </c>
      <c r="AA58" s="58" t="s">
        <v>118</v>
      </c>
      <c r="AB58" s="59">
        <v>27</v>
      </c>
    </row>
    <row r="59" spans="1:28" ht="15.75" thickBot="1" x14ac:dyDescent="0.3">
      <c r="A59" s="2"/>
      <c r="B59" s="5">
        <f t="shared" ref="B59:I59" si="11">MAX(IF(B27&gt;=$M$34,M27,B27),IF(M27&gt;=$M$34,B27,M27))</f>
        <v>8.1658601760899998</v>
      </c>
      <c r="C59" s="5">
        <f t="shared" si="11"/>
        <v>10.196805000299999</v>
      </c>
      <c r="D59" s="5">
        <f t="shared" si="11"/>
        <v>40.688133239700001</v>
      </c>
      <c r="E59" s="5">
        <f t="shared" si="11"/>
        <v>7.9596996307400003</v>
      </c>
      <c r="F59" s="5">
        <f t="shared" si="11"/>
        <v>55.409740448000001</v>
      </c>
      <c r="G59" s="5">
        <f t="shared" si="11"/>
        <v>53.813529968300003</v>
      </c>
      <c r="H59" s="5">
        <f t="shared" si="11"/>
        <v>55.169582366900002</v>
      </c>
      <c r="I59" s="5">
        <f t="shared" si="11"/>
        <v>51.263282775900002</v>
      </c>
      <c r="J59" s="2"/>
      <c r="K59" s="92">
        <f t="shared" si="2"/>
        <v>0</v>
      </c>
      <c r="AA59" s="58" t="s">
        <v>119</v>
      </c>
      <c r="AB59" s="59">
        <v>28</v>
      </c>
    </row>
    <row r="60" spans="1:28" x14ac:dyDescent="0.25">
      <c r="A60" s="2"/>
      <c r="B60" s="1"/>
      <c r="C60" s="5">
        <f t="shared" ref="C60:H60" si="12">MAX(IF(C28&gt;=$M$34,N28,C28),IF(N28&gt;=$M$34,C28,N28))</f>
        <v>1.9598007202100001E-2</v>
      </c>
      <c r="D60" s="5">
        <f t="shared" si="12"/>
        <v>53.9749603271</v>
      </c>
      <c r="E60" s="5">
        <f t="shared" si="12"/>
        <v>35.9186897278</v>
      </c>
      <c r="F60" s="5">
        <f t="shared" si="12"/>
        <v>44.273735046399999</v>
      </c>
      <c r="G60" s="5">
        <f t="shared" si="12"/>
        <v>57.0133934021</v>
      </c>
      <c r="H60" s="5">
        <f t="shared" si="12"/>
        <v>55.004264831500002</v>
      </c>
      <c r="I60" s="1"/>
      <c r="J60" s="2"/>
      <c r="K60" s="92">
        <f t="shared" si="2"/>
        <v>0</v>
      </c>
      <c r="AA60" s="58" t="s">
        <v>120</v>
      </c>
      <c r="AB60" s="59">
        <v>29</v>
      </c>
    </row>
    <row r="61" spans="1:28" x14ac:dyDescent="0.25">
      <c r="A61" s="2"/>
      <c r="B61" s="2"/>
      <c r="C61" s="6" t="s">
        <v>82</v>
      </c>
      <c r="D61" s="7" t="s">
        <v>83</v>
      </c>
      <c r="E61" s="6" t="s">
        <v>84</v>
      </c>
      <c r="F61" s="6" t="s">
        <v>85</v>
      </c>
      <c r="G61" s="8" t="s">
        <v>86</v>
      </c>
      <c r="H61" s="6" t="s">
        <v>87</v>
      </c>
      <c r="I61" s="2"/>
      <c r="J61" s="2"/>
      <c r="K61" s="93">
        <v>0</v>
      </c>
      <c r="AA61" s="58" t="s">
        <v>121</v>
      </c>
      <c r="AB61" s="59">
        <v>30</v>
      </c>
    </row>
    <row r="62" spans="1:28" x14ac:dyDescent="0.25">
      <c r="A62" s="2"/>
      <c r="B62" s="2"/>
      <c r="C62" s="5">
        <f t="shared" ref="C62:H62" si="13">MAX(IF(C30&gt;=$M$34,N30,C30),IF(N30&gt;=$M$34,C30,N30))</f>
        <v>64.777565002399996</v>
      </c>
      <c r="D62" s="5">
        <f t="shared" si="13"/>
        <v>27.110553741499999</v>
      </c>
      <c r="E62" s="5">
        <f t="shared" si="13"/>
        <v>55.5163879395</v>
      </c>
      <c r="F62" s="5">
        <f t="shared" si="13"/>
        <v>55.609607696499999</v>
      </c>
      <c r="G62" s="5">
        <f t="shared" si="13"/>
        <v>53.651763916</v>
      </c>
      <c r="H62" s="5">
        <f t="shared" si="13"/>
        <v>50.761459350599999</v>
      </c>
      <c r="I62" s="2"/>
      <c r="J62" s="2"/>
      <c r="K62" s="92">
        <f t="shared" si="2"/>
        <v>0</v>
      </c>
      <c r="AA62" s="58" t="s">
        <v>122</v>
      </c>
      <c r="AB62" s="59">
        <v>31</v>
      </c>
    </row>
    <row r="63" spans="1:28" x14ac:dyDescent="0.25">
      <c r="AA63" s="58" t="s">
        <v>123</v>
      </c>
      <c r="AB63" s="59">
        <v>32</v>
      </c>
    </row>
    <row r="64" spans="1:28" x14ac:dyDescent="0.25">
      <c r="AA64" s="58" t="s">
        <v>124</v>
      </c>
      <c r="AB64" s="59">
        <v>33</v>
      </c>
    </row>
    <row r="65" spans="27:28" x14ac:dyDescent="0.25">
      <c r="AA65" s="58" t="s">
        <v>125</v>
      </c>
      <c r="AB65" s="59">
        <v>34</v>
      </c>
    </row>
    <row r="66" spans="27:28" x14ac:dyDescent="0.25">
      <c r="AA66" s="58" t="s">
        <v>126</v>
      </c>
      <c r="AB66" s="59">
        <v>35</v>
      </c>
    </row>
    <row r="67" spans="27:28" x14ac:dyDescent="0.25">
      <c r="AA67" s="58" t="s">
        <v>127</v>
      </c>
      <c r="AB67" s="59">
        <v>36</v>
      </c>
    </row>
    <row r="68" spans="27:28" x14ac:dyDescent="0.25">
      <c r="AA68" s="58" t="s">
        <v>128</v>
      </c>
      <c r="AB68" s="59">
        <v>37</v>
      </c>
    </row>
    <row r="69" spans="27:28" x14ac:dyDescent="0.25">
      <c r="AA69" s="58" t="s">
        <v>129</v>
      </c>
      <c r="AB69" s="59">
        <v>38</v>
      </c>
    </row>
    <row r="70" spans="27:28" x14ac:dyDescent="0.25">
      <c r="AA70" s="58" t="s">
        <v>130</v>
      </c>
      <c r="AB70" s="59">
        <v>39</v>
      </c>
    </row>
    <row r="71" spans="27:28" x14ac:dyDescent="0.25">
      <c r="AA71" s="58" t="s">
        <v>131</v>
      </c>
      <c r="AB71" s="59">
        <v>40</v>
      </c>
    </row>
    <row r="72" spans="27:28" x14ac:dyDescent="0.25">
      <c r="AA72" s="58" t="s">
        <v>132</v>
      </c>
      <c r="AB72" s="59">
        <v>41</v>
      </c>
    </row>
    <row r="73" spans="27:28" x14ac:dyDescent="0.25">
      <c r="AA73" s="58" t="s">
        <v>133</v>
      </c>
      <c r="AB73" s="59">
        <v>42</v>
      </c>
    </row>
    <row r="74" spans="27:28" x14ac:dyDescent="0.25">
      <c r="AA74" s="58" t="s">
        <v>134</v>
      </c>
      <c r="AB74" s="59">
        <v>43</v>
      </c>
    </row>
    <row r="75" spans="27:28" x14ac:dyDescent="0.25">
      <c r="AA75" s="58" t="s">
        <v>135</v>
      </c>
      <c r="AB75" s="59">
        <v>44</v>
      </c>
    </row>
    <row r="76" spans="27:28" x14ac:dyDescent="0.25">
      <c r="AA76" s="58" t="s">
        <v>136</v>
      </c>
      <c r="AB76" s="59">
        <v>45</v>
      </c>
    </row>
    <row r="77" spans="27:28" x14ac:dyDescent="0.25">
      <c r="AA77" s="58" t="s">
        <v>137</v>
      </c>
      <c r="AB77" s="59">
        <v>46</v>
      </c>
    </row>
    <row r="78" spans="27:28" x14ac:dyDescent="0.25">
      <c r="AA78" s="58" t="s">
        <v>138</v>
      </c>
      <c r="AB78" s="59">
        <v>47</v>
      </c>
    </row>
    <row r="79" spans="27:28" x14ac:dyDescent="0.25">
      <c r="AA79" s="58" t="s">
        <v>139</v>
      </c>
      <c r="AB79" s="59">
        <v>48</v>
      </c>
    </row>
    <row r="80" spans="27:28" x14ac:dyDescent="0.25">
      <c r="AA80" s="58" t="s">
        <v>140</v>
      </c>
      <c r="AB80" s="59">
        <v>49</v>
      </c>
    </row>
    <row r="81" spans="27:28" x14ac:dyDescent="0.25">
      <c r="AA81" s="58" t="s">
        <v>141</v>
      </c>
      <c r="AB81" s="59">
        <v>50</v>
      </c>
    </row>
    <row r="82" spans="27:28" x14ac:dyDescent="0.25">
      <c r="AA82" s="58" t="s">
        <v>142</v>
      </c>
      <c r="AB82" s="59">
        <v>51</v>
      </c>
    </row>
    <row r="83" spans="27:28" x14ac:dyDescent="0.25">
      <c r="AA83" s="58" t="s">
        <v>143</v>
      </c>
      <c r="AB83" s="59">
        <v>52</v>
      </c>
    </row>
    <row r="84" spans="27:28" x14ac:dyDescent="0.25">
      <c r="AA84" s="58" t="s">
        <v>144</v>
      </c>
      <c r="AB84" s="59">
        <v>53</v>
      </c>
    </row>
    <row r="85" spans="27:28" x14ac:dyDescent="0.25">
      <c r="AA85" s="58" t="s">
        <v>145</v>
      </c>
      <c r="AB85" s="59">
        <v>54</v>
      </c>
    </row>
    <row r="86" spans="27:28" x14ac:dyDescent="0.25">
      <c r="AA86" s="58" t="s">
        <v>146</v>
      </c>
      <c r="AB86" s="59">
        <v>55</v>
      </c>
    </row>
    <row r="87" spans="27:28" x14ac:dyDescent="0.25">
      <c r="AA87" s="58" t="s">
        <v>147</v>
      </c>
      <c r="AB87" s="59">
        <v>56</v>
      </c>
    </row>
    <row r="88" spans="27:28" x14ac:dyDescent="0.25">
      <c r="AA88" s="58" t="s">
        <v>148</v>
      </c>
      <c r="AB88" s="59">
        <v>57</v>
      </c>
    </row>
    <row r="89" spans="27:28" x14ac:dyDescent="0.25">
      <c r="AA89" s="58" t="s">
        <v>149</v>
      </c>
      <c r="AB89" s="59">
        <v>58</v>
      </c>
    </row>
    <row r="90" spans="27:28" x14ac:dyDescent="0.25">
      <c r="AA90" s="58" t="s">
        <v>150</v>
      </c>
      <c r="AB90" s="59">
        <v>59</v>
      </c>
    </row>
    <row r="91" spans="27:28" x14ac:dyDescent="0.25">
      <c r="AA91" s="58" t="s">
        <v>151</v>
      </c>
      <c r="AB91" s="59">
        <v>60</v>
      </c>
    </row>
    <row r="92" spans="27:28" x14ac:dyDescent="0.25">
      <c r="AA92" s="58" t="s">
        <v>152</v>
      </c>
      <c r="AB92" s="59">
        <v>61</v>
      </c>
    </row>
    <row r="93" spans="27:28" x14ac:dyDescent="0.25">
      <c r="AA93" s="58" t="s">
        <v>153</v>
      </c>
      <c r="AB93" s="59">
        <v>62</v>
      </c>
    </row>
    <row r="94" spans="27:28" x14ac:dyDescent="0.25">
      <c r="AA94" s="58" t="s">
        <v>154</v>
      </c>
      <c r="AB94" s="59">
        <v>63</v>
      </c>
    </row>
    <row r="95" spans="27:28" x14ac:dyDescent="0.25">
      <c r="AA95" s="58" t="s">
        <v>155</v>
      </c>
      <c r="AB95" s="59">
        <v>64</v>
      </c>
    </row>
    <row r="96" spans="27:28" x14ac:dyDescent="0.25">
      <c r="AA96" s="58" t="s">
        <v>156</v>
      </c>
      <c r="AB96" s="59">
        <v>65</v>
      </c>
    </row>
    <row r="97" spans="27:28" x14ac:dyDescent="0.25">
      <c r="AA97" s="58" t="s">
        <v>157</v>
      </c>
      <c r="AB97" s="59">
        <v>66</v>
      </c>
    </row>
    <row r="98" spans="27:28" x14ac:dyDescent="0.25">
      <c r="AA98" s="58" t="s">
        <v>158</v>
      </c>
      <c r="AB98" s="59">
        <v>67</v>
      </c>
    </row>
    <row r="99" spans="27:28" x14ac:dyDescent="0.25">
      <c r="AA99" s="58" t="s">
        <v>159</v>
      </c>
      <c r="AB99" s="59">
        <v>68</v>
      </c>
    </row>
    <row r="100" spans="27:28" x14ac:dyDescent="0.25">
      <c r="AA100" s="58" t="s">
        <v>160</v>
      </c>
      <c r="AB100" s="59">
        <v>69</v>
      </c>
    </row>
    <row r="101" spans="27:28" x14ac:dyDescent="0.25">
      <c r="AA101" s="58" t="s">
        <v>161</v>
      </c>
      <c r="AB101" s="59">
        <v>70</v>
      </c>
    </row>
    <row r="102" spans="27:28" x14ac:dyDescent="0.25">
      <c r="AA102" s="58" t="s">
        <v>162</v>
      </c>
      <c r="AB102" s="59">
        <v>71</v>
      </c>
    </row>
    <row r="103" spans="27:28" x14ac:dyDescent="0.25">
      <c r="AA103" s="58" t="s">
        <v>163</v>
      </c>
      <c r="AB103" s="59">
        <v>72</v>
      </c>
    </row>
    <row r="104" spans="27:28" x14ac:dyDescent="0.25">
      <c r="AA104" s="58" t="s">
        <v>164</v>
      </c>
      <c r="AB104" s="59">
        <v>73</v>
      </c>
    </row>
    <row r="105" spans="27:28" x14ac:dyDescent="0.25">
      <c r="AA105" s="58" t="s">
        <v>165</v>
      </c>
      <c r="AB105" s="59">
        <v>74</v>
      </c>
    </row>
    <row r="106" spans="27:28" x14ac:dyDescent="0.25">
      <c r="AA106" s="58" t="s">
        <v>166</v>
      </c>
      <c r="AB106" s="59">
        <v>75</v>
      </c>
    </row>
    <row r="107" spans="27:28" x14ac:dyDescent="0.25">
      <c r="AA107" s="58" t="s">
        <v>167</v>
      </c>
      <c r="AB107" s="59">
        <v>76</v>
      </c>
    </row>
    <row r="108" spans="27:28" x14ac:dyDescent="0.25">
      <c r="AA108" s="58" t="s">
        <v>168</v>
      </c>
      <c r="AB108" s="59">
        <v>77</v>
      </c>
    </row>
    <row r="109" spans="27:28" x14ac:dyDescent="0.25">
      <c r="AA109" s="58" t="s">
        <v>169</v>
      </c>
      <c r="AB109" s="59">
        <v>78</v>
      </c>
    </row>
    <row r="110" spans="27:28" x14ac:dyDescent="0.25">
      <c r="AA110" s="58" t="s">
        <v>170</v>
      </c>
      <c r="AB110" s="59">
        <v>79</v>
      </c>
    </row>
    <row r="111" spans="27:28" x14ac:dyDescent="0.25">
      <c r="AA111" s="58" t="s">
        <v>171</v>
      </c>
      <c r="AB111" s="59">
        <v>80</v>
      </c>
    </row>
    <row r="112" spans="27:28" x14ac:dyDescent="0.25">
      <c r="AA112" s="58" t="s">
        <v>172</v>
      </c>
      <c r="AB112" s="59">
        <v>81</v>
      </c>
    </row>
    <row r="113" spans="13:28" x14ac:dyDescent="0.25">
      <c r="AA113" s="58" t="s">
        <v>173</v>
      </c>
      <c r="AB113" s="59">
        <v>82</v>
      </c>
    </row>
    <row r="114" spans="13:28" x14ac:dyDescent="0.25">
      <c r="AA114" s="58" t="s">
        <v>174</v>
      </c>
      <c r="AB114" s="59">
        <v>83</v>
      </c>
    </row>
    <row r="115" spans="13:28" x14ac:dyDescent="0.25">
      <c r="AA115" s="58" t="s">
        <v>175</v>
      </c>
      <c r="AB115" s="59">
        <v>84</v>
      </c>
    </row>
    <row r="116" spans="13:28" x14ac:dyDescent="0.25">
      <c r="AA116" s="58" t="s">
        <v>176</v>
      </c>
      <c r="AB116" s="59">
        <v>85</v>
      </c>
    </row>
    <row r="117" spans="13:28" x14ac:dyDescent="0.25">
      <c r="AA117" s="58" t="s">
        <v>177</v>
      </c>
      <c r="AB117" s="59">
        <v>86</v>
      </c>
    </row>
    <row r="118" spans="13:28" x14ac:dyDescent="0.25">
      <c r="AA118" s="58" t="s">
        <v>178</v>
      </c>
      <c r="AB118" s="59">
        <v>87</v>
      </c>
    </row>
    <row r="119" spans="13:28" x14ac:dyDescent="0.25">
      <c r="AA119" s="58" t="s">
        <v>179</v>
      </c>
      <c r="AB119" s="59">
        <v>88</v>
      </c>
    </row>
    <row r="122" spans="13:28" x14ac:dyDescent="0.25">
      <c r="M122" s="5" t="s">
        <v>88</v>
      </c>
      <c r="N122" s="5" t="s">
        <v>88</v>
      </c>
    </row>
    <row r="123" spans="13:28" x14ac:dyDescent="0.25">
      <c r="M123" s="5" t="s">
        <v>88</v>
      </c>
      <c r="N123" s="5" t="s">
        <v>88</v>
      </c>
    </row>
  </sheetData>
  <conditionalFormatting sqref="A33:J62">
    <cfRule type="expression" dxfId="1" priority="1">
      <formula>AND(A33&gt;=$M$34,ISNUMBER(A33))</formula>
    </cfRule>
    <cfRule type="cellIs" dxfId="0" priority="4" operator="notBetween">
      <formula>33</formula>
      <formula>75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ing_Lines">
                <anchor moveWithCells="1" sizeWithCells="1">
                  <from>
                    <xdr:col>11</xdr:col>
                    <xdr:colOff>600075</xdr:colOff>
                    <xdr:row>38</xdr:row>
                    <xdr:rowOff>171450</xdr:rowOff>
                  </from>
                  <to>
                    <xdr:col>13</xdr:col>
                    <xdr:colOff>9525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263D6-A3DA-4EBB-9CAB-229388F3DB5F}">
  <sheetPr codeName="Sheet3"/>
  <dimension ref="A1:P30"/>
  <sheetViews>
    <sheetView workbookViewId="0">
      <selection activeCell="E1" sqref="E1"/>
    </sheetView>
  </sheetViews>
  <sheetFormatPr defaultRowHeight="15" x14ac:dyDescent="0.25"/>
  <cols>
    <col min="13" max="16" width="8.85546875" style="119"/>
  </cols>
  <sheetData>
    <row r="1" spans="1:12" ht="16.149999999999999" customHeight="1" x14ac:dyDescent="0.25">
      <c r="A1" s="102"/>
      <c r="B1" s="104"/>
      <c r="C1" s="106"/>
      <c r="D1" s="107"/>
      <c r="E1" s="95" cm="1">
        <f t="array" ref="E1:H1">TRANSPOSE(KDF_data!B3:B6)</f>
        <v>20.487903594999999</v>
      </c>
      <c r="F1" s="96">
        <v>53.5599212646</v>
      </c>
      <c r="G1" s="95">
        <v>52.9107589722</v>
      </c>
      <c r="H1" s="95">
        <v>50.538589477499997</v>
      </c>
      <c r="I1" s="111"/>
      <c r="J1" s="106"/>
      <c r="K1" s="102"/>
      <c r="L1" s="104"/>
    </row>
    <row r="2" spans="1:12" ht="16.149999999999999" customHeight="1" x14ac:dyDescent="0.25">
      <c r="A2" s="102"/>
      <c r="B2" s="104"/>
      <c r="C2" s="106"/>
      <c r="D2" s="107"/>
      <c r="E2" s="109">
        <v>1</v>
      </c>
      <c r="F2" s="110">
        <f>E2+1</f>
        <v>2</v>
      </c>
      <c r="G2" s="110">
        <f t="shared" ref="G2:H2" si="0">F2+1</f>
        <v>3</v>
      </c>
      <c r="H2" s="110">
        <f t="shared" si="0"/>
        <v>4</v>
      </c>
      <c r="I2" s="111"/>
      <c r="J2" s="106"/>
      <c r="K2" s="102"/>
      <c r="L2" s="104"/>
    </row>
    <row r="3" spans="1:12" ht="16.149999999999999" customHeight="1" thickBot="1" x14ac:dyDescent="0.55000000000000004">
      <c r="A3" s="103"/>
      <c r="B3" s="105"/>
      <c r="C3" s="106"/>
      <c r="D3" s="108"/>
      <c r="E3" s="120" cm="1">
        <f t="array" aca="1" ref="E3:H3" ca="1">TRANSPOSE(INDIRECT(SUBSTITUTE(MID(_xlfn.FORMULATEXT(E1),SEARCH("(",_xlfn.FORMULATEXT(E1))+1,LEN(_xlfn.FORMULATEXT(E1))-12),"B","C"),TRUE))</f>
        <v>33.266685485799997</v>
      </c>
      <c r="F3" s="97">
        <f ca="1"/>
        <v>47.286750793499998</v>
      </c>
      <c r="G3" s="98">
        <f ca="1"/>
        <v>48.572181701700003</v>
      </c>
      <c r="H3" s="99">
        <f ca="1"/>
        <v>51.243614196800003</v>
      </c>
      <c r="I3" s="112"/>
      <c r="J3" s="106"/>
      <c r="K3" s="113"/>
      <c r="L3" s="103"/>
    </row>
    <row r="4" spans="1:12" ht="16.149999999999999" customHeight="1" x14ac:dyDescent="0.25">
      <c r="A4" s="103"/>
      <c r="B4" s="106"/>
      <c r="C4" s="96" cm="1">
        <f t="array" ref="C4:J4">TRANSPOSE(KDF_data!B7:B14)</f>
        <v>48.886871337899997</v>
      </c>
      <c r="D4" s="96">
        <v>23.578500747700001</v>
      </c>
      <c r="E4" s="95">
        <v>50.343776702900001</v>
      </c>
      <c r="F4" s="95">
        <v>55.379199981699998</v>
      </c>
      <c r="G4" s="95">
        <v>59.4585647583</v>
      </c>
      <c r="H4" s="96">
        <v>56.421447753899997</v>
      </c>
      <c r="I4" s="95">
        <v>51.589870452900001</v>
      </c>
      <c r="J4" s="95">
        <v>49.080513000499998</v>
      </c>
      <c r="K4" s="106"/>
      <c r="L4" s="103"/>
    </row>
    <row r="5" spans="1:12" ht="16.149999999999999" customHeight="1" x14ac:dyDescent="0.25">
      <c r="A5" s="103"/>
      <c r="B5" s="106"/>
      <c r="C5" s="109">
        <f>MAX($A2:$L2)+1</f>
        <v>5</v>
      </c>
      <c r="D5" s="110">
        <f>C5+1</f>
        <v>6</v>
      </c>
      <c r="E5" s="110">
        <f t="shared" ref="E5:J5" si="1">D5+1</f>
        <v>7</v>
      </c>
      <c r="F5" s="110">
        <f t="shared" si="1"/>
        <v>8</v>
      </c>
      <c r="G5" s="110">
        <f t="shared" si="1"/>
        <v>9</v>
      </c>
      <c r="H5" s="110">
        <f t="shared" si="1"/>
        <v>10</v>
      </c>
      <c r="I5" s="110">
        <f t="shared" si="1"/>
        <v>11</v>
      </c>
      <c r="J5" s="110">
        <f t="shared" si="1"/>
        <v>12</v>
      </c>
      <c r="K5" s="106"/>
      <c r="L5" s="103"/>
    </row>
    <row r="6" spans="1:12" ht="16.149999999999999" customHeight="1" thickBot="1" x14ac:dyDescent="0.3">
      <c r="A6" s="103"/>
      <c r="B6" s="106"/>
      <c r="C6" s="120" cm="1">
        <f t="array" aca="1" ref="C6:J6" ca="1">TRANSPOSE(INDIRECT(SUBSTITUTE(MID(_xlfn.FORMULATEXT(C4),SEARCH("(",_xlfn.FORMULATEXT(C4))+1,LEN(_xlfn.FORMULATEXT(C4))-12),"B","C"),TRUE))</f>
        <v>52.152656555199997</v>
      </c>
      <c r="D6" s="101">
        <f ca="1"/>
        <v>2.3889541625999999E-2</v>
      </c>
      <c r="E6" s="101">
        <f ca="1"/>
        <v>45.660232543900001</v>
      </c>
      <c r="F6" s="101">
        <f ca="1"/>
        <v>47.447181701700003</v>
      </c>
      <c r="G6" s="101">
        <f ca="1"/>
        <v>49.484611511200001</v>
      </c>
      <c r="H6" s="101">
        <f ca="1"/>
        <v>51.582695007300003</v>
      </c>
      <c r="I6" s="101">
        <f ca="1"/>
        <v>31.6949615479</v>
      </c>
      <c r="J6" s="101">
        <f ca="1"/>
        <v>59.352684021000002</v>
      </c>
      <c r="K6" s="106"/>
      <c r="L6" s="103"/>
    </row>
    <row r="7" spans="1:12" ht="16.149999999999999" customHeight="1" x14ac:dyDescent="0.25">
      <c r="A7" s="103"/>
      <c r="B7" s="100" cm="1">
        <f t="array" ref="B7:K7">TRANSPOSE(KDF_data!B15:B24)</f>
        <v>47.641086578399999</v>
      </c>
      <c r="C7" s="100">
        <v>42.337535858199999</v>
      </c>
      <c r="D7" s="100">
        <v>41.148803710899998</v>
      </c>
      <c r="E7" s="100">
        <v>52.754116058299999</v>
      </c>
      <c r="F7" s="100">
        <v>58.244895935099997</v>
      </c>
      <c r="G7" s="100">
        <v>58.948753356899999</v>
      </c>
      <c r="H7" s="100">
        <v>45.977806091300003</v>
      </c>
      <c r="I7" s="100">
        <v>55.478263855000002</v>
      </c>
      <c r="J7" s="100">
        <v>52.4308700562</v>
      </c>
      <c r="K7" s="100">
        <v>49.480606079099999</v>
      </c>
      <c r="L7" s="103"/>
    </row>
    <row r="8" spans="1:12" ht="16.149999999999999" customHeight="1" x14ac:dyDescent="0.25">
      <c r="A8" s="103"/>
      <c r="B8" s="109">
        <f>MAX($A5:$L5)+1</f>
        <v>13</v>
      </c>
      <c r="C8" s="110">
        <f>B8+1</f>
        <v>14</v>
      </c>
      <c r="D8" s="110">
        <f t="shared" ref="D8:K8" si="2">C8+1</f>
        <v>15</v>
      </c>
      <c r="E8" s="110">
        <f t="shared" si="2"/>
        <v>16</v>
      </c>
      <c r="F8" s="110">
        <f t="shared" si="2"/>
        <v>17</v>
      </c>
      <c r="G8" s="110">
        <f t="shared" si="2"/>
        <v>18</v>
      </c>
      <c r="H8" s="110">
        <f t="shared" si="2"/>
        <v>19</v>
      </c>
      <c r="I8" s="110">
        <f t="shared" si="2"/>
        <v>20</v>
      </c>
      <c r="J8" s="110">
        <f t="shared" si="2"/>
        <v>21</v>
      </c>
      <c r="K8" s="110">
        <f t="shared" si="2"/>
        <v>22</v>
      </c>
      <c r="L8" s="103"/>
    </row>
    <row r="9" spans="1:12" ht="16.149999999999999" customHeight="1" thickBot="1" x14ac:dyDescent="0.3">
      <c r="A9" s="103"/>
      <c r="B9" s="120" cm="1">
        <f t="array" aca="1" ref="B9:K9" ca="1">TRANSPOSE(INDIRECT(SUBSTITUTE(MID(_xlfn.FORMULATEXT(B7),SEARCH("(",_xlfn.FORMULATEXT(B7))+1,LEN(_xlfn.FORMULATEXT(B7))-12),"B","C"),TRUE))</f>
        <v>9.0503692627000004E-2</v>
      </c>
      <c r="C9" s="101">
        <f ca="1"/>
        <v>50.346138000499998</v>
      </c>
      <c r="D9" s="101">
        <f ca="1"/>
        <v>45.096755981400001</v>
      </c>
      <c r="E9" s="101">
        <f ca="1"/>
        <v>47.605800628700003</v>
      </c>
      <c r="F9" s="101">
        <f ca="1"/>
        <v>48.805881500200002</v>
      </c>
      <c r="G9" s="101">
        <f ca="1"/>
        <v>52.3276329041</v>
      </c>
      <c r="H9" s="101">
        <f ca="1"/>
        <v>55.0771255493</v>
      </c>
      <c r="I9" s="101">
        <f ca="1"/>
        <v>58.8519096375</v>
      </c>
      <c r="J9" s="101">
        <f ca="1"/>
        <v>60.713577270499997</v>
      </c>
      <c r="K9" s="101">
        <f ca="1"/>
        <v>58.862472534200002</v>
      </c>
      <c r="L9" s="103"/>
    </row>
    <row r="10" spans="1:12" ht="16.149999999999999" customHeight="1" x14ac:dyDescent="0.25">
      <c r="A10" s="103"/>
      <c r="B10" s="100" cm="1">
        <f t="array" ref="B10:K10">TRANSPOSE(KDF_data!B25:B34)</f>
        <v>48.024772644000002</v>
      </c>
      <c r="C10" s="100">
        <v>46.378944396999998</v>
      </c>
      <c r="D10" s="100">
        <v>49.661231994600001</v>
      </c>
      <c r="E10" s="100">
        <v>54.556228637700002</v>
      </c>
      <c r="F10" s="100">
        <v>0.35614967346199999</v>
      </c>
      <c r="G10" s="100">
        <v>58.547569274899999</v>
      </c>
      <c r="H10" s="100">
        <v>58.231090545699999</v>
      </c>
      <c r="I10" s="100">
        <v>7.2160720825200002</v>
      </c>
      <c r="J10" s="100">
        <v>0.51712989807099996</v>
      </c>
      <c r="K10" s="100">
        <v>51.566291809100001</v>
      </c>
      <c r="L10" s="103"/>
    </row>
    <row r="11" spans="1:12" ht="16.149999999999999" customHeight="1" x14ac:dyDescent="0.25">
      <c r="A11" s="103"/>
      <c r="B11" s="109">
        <f>MAX($A8:$L8)+1</f>
        <v>23</v>
      </c>
      <c r="C11" s="110">
        <f>B11+1</f>
        <v>24</v>
      </c>
      <c r="D11" s="110">
        <f t="shared" ref="D11:K11" si="3">C11+1</f>
        <v>25</v>
      </c>
      <c r="E11" s="110">
        <f t="shared" si="3"/>
        <v>26</v>
      </c>
      <c r="F11" s="110">
        <f t="shared" si="3"/>
        <v>27</v>
      </c>
      <c r="G11" s="110">
        <f t="shared" si="3"/>
        <v>28</v>
      </c>
      <c r="H11" s="110">
        <f t="shared" si="3"/>
        <v>29</v>
      </c>
      <c r="I11" s="110">
        <f t="shared" si="3"/>
        <v>30</v>
      </c>
      <c r="J11" s="110">
        <f t="shared" si="3"/>
        <v>31</v>
      </c>
      <c r="K11" s="110">
        <f t="shared" si="3"/>
        <v>32</v>
      </c>
      <c r="L11" s="103"/>
    </row>
    <row r="12" spans="1:12" ht="16.149999999999999" customHeight="1" thickBot="1" x14ac:dyDescent="0.3">
      <c r="A12" s="103"/>
      <c r="B12" s="120" cm="1">
        <f t="array" aca="1" ref="B12:K12" ca="1">TRANSPOSE(INDIRECT(SUBSTITUTE(MID(_xlfn.FORMULATEXT(B10),SEARCH("(",_xlfn.FORMULATEXT(B10))+1,LEN(_xlfn.FORMULATEXT(B10))-12),"B","C"),TRUE))</f>
        <v>53.376342773399998</v>
      </c>
      <c r="C12" s="101">
        <f ca="1"/>
        <v>27.125049591100002</v>
      </c>
      <c r="D12" s="101">
        <f ca="1"/>
        <v>46.814632415799998</v>
      </c>
      <c r="E12" s="101">
        <f ca="1"/>
        <v>49.009277343800001</v>
      </c>
      <c r="F12" s="101">
        <f ca="1"/>
        <v>52.209045410199998</v>
      </c>
      <c r="G12" s="101">
        <f ca="1"/>
        <v>55.674816131599997</v>
      </c>
      <c r="H12" s="101">
        <f ca="1"/>
        <v>9.3545198440600004</v>
      </c>
      <c r="I12" s="101">
        <f ca="1"/>
        <v>58.815933227499997</v>
      </c>
      <c r="J12" s="101">
        <f ca="1"/>
        <v>59.050918579099999</v>
      </c>
      <c r="K12" s="101">
        <f ca="1"/>
        <v>17.8658256531</v>
      </c>
      <c r="L12" s="103"/>
    </row>
    <row r="13" spans="1:12" ht="16.149999999999999" customHeight="1" x14ac:dyDescent="0.25">
      <c r="A13" s="100" cm="1">
        <f t="array" ref="A13:L13">TRANSPOSE(KDF_data!B35:B46)</f>
        <v>48.962997436499997</v>
      </c>
      <c r="B13" s="100">
        <v>47.819519043</v>
      </c>
      <c r="C13" s="100">
        <v>51.451538085899998</v>
      </c>
      <c r="D13" s="100">
        <v>57.204795837399999</v>
      </c>
      <c r="E13" s="100">
        <v>58.412624359100001</v>
      </c>
      <c r="F13" s="100">
        <v>57.644104003899997</v>
      </c>
      <c r="G13" s="100">
        <v>56.287693023700001</v>
      </c>
      <c r="H13" s="100">
        <v>45.966934204099999</v>
      </c>
      <c r="I13" s="100">
        <v>55.739402771000002</v>
      </c>
      <c r="J13" s="100">
        <v>55.354927062999998</v>
      </c>
      <c r="K13" s="100">
        <v>51.029014587399999</v>
      </c>
      <c r="L13" s="100">
        <v>48.209072112999998</v>
      </c>
    </row>
    <row r="14" spans="1:12" ht="16.149999999999999" customHeight="1" x14ac:dyDescent="0.25">
      <c r="A14" s="109">
        <f>MAX($A11:$L11)+1</f>
        <v>33</v>
      </c>
      <c r="B14" s="110">
        <f>A14+1</f>
        <v>34</v>
      </c>
      <c r="C14" s="110">
        <f t="shared" ref="C14:L14" si="4">B14+1</f>
        <v>35</v>
      </c>
      <c r="D14" s="110">
        <f t="shared" si="4"/>
        <v>36</v>
      </c>
      <c r="E14" s="110">
        <f t="shared" si="4"/>
        <v>37</v>
      </c>
      <c r="F14" s="118">
        <f t="shared" si="4"/>
        <v>38</v>
      </c>
      <c r="G14" s="110">
        <f t="shared" si="4"/>
        <v>39</v>
      </c>
      <c r="H14" s="110">
        <f t="shared" si="4"/>
        <v>40</v>
      </c>
      <c r="I14" s="110">
        <f t="shared" si="4"/>
        <v>41</v>
      </c>
      <c r="J14" s="110">
        <f t="shared" si="4"/>
        <v>42</v>
      </c>
      <c r="K14" s="110">
        <f t="shared" si="4"/>
        <v>43</v>
      </c>
      <c r="L14" s="110">
        <f t="shared" si="4"/>
        <v>44</v>
      </c>
    </row>
    <row r="15" spans="1:12" ht="16.149999999999999" customHeight="1" thickBot="1" x14ac:dyDescent="0.3">
      <c r="A15" s="120" cm="1">
        <f t="array" aca="1" ref="A15:L15" ca="1">TRANSPOSE(INDIRECT(SUBSTITUTE(MID(_xlfn.FORMULATEXT(A13),SEARCH("(",_xlfn.FORMULATEXT(A13))+1,LEN(_xlfn.FORMULATEXT(A13))-12),"B","C"),TRUE))</f>
        <v>55.184410095200001</v>
      </c>
      <c r="B15" s="101">
        <f ca="1"/>
        <v>50.332904815699997</v>
      </c>
      <c r="C15" s="101">
        <f ca="1"/>
        <v>47.561336517299999</v>
      </c>
      <c r="D15" s="101">
        <f ca="1"/>
        <v>50.3304977417</v>
      </c>
      <c r="E15" s="101">
        <f ca="1"/>
        <v>55.214500427200001</v>
      </c>
      <c r="F15" s="101">
        <f ca="1"/>
        <v>56.607318878199997</v>
      </c>
      <c r="G15" s="101">
        <f ca="1"/>
        <v>56.132362365699997</v>
      </c>
      <c r="H15" s="101">
        <f ca="1"/>
        <v>57.171558380100002</v>
      </c>
      <c r="I15" s="101">
        <f ca="1"/>
        <v>58.3974838257</v>
      </c>
      <c r="J15" s="101">
        <f ca="1"/>
        <v>17.504644393900001</v>
      </c>
      <c r="K15" s="101">
        <f ca="1"/>
        <v>57.952190399199999</v>
      </c>
      <c r="L15" s="101">
        <f ca="1"/>
        <v>52.292297363300001</v>
      </c>
    </row>
    <row r="16" spans="1:12" ht="16.149999999999999" customHeight="1" x14ac:dyDescent="0.25">
      <c r="A16" s="100" cm="1">
        <f t="array" ref="A16:L16">TRANSPOSE(KDF_data!B47:B58)</f>
        <v>52.6460876465</v>
      </c>
      <c r="B16" s="100">
        <v>58.4632415771</v>
      </c>
      <c r="C16" s="100">
        <v>58.1044197083</v>
      </c>
      <c r="D16" s="100">
        <v>57.010387420699999</v>
      </c>
      <c r="E16" s="100">
        <v>55.4432868958</v>
      </c>
      <c r="F16" s="100">
        <v>49.864696502699999</v>
      </c>
      <c r="G16" s="100">
        <v>56.140754699699997</v>
      </c>
      <c r="H16" s="100">
        <v>56.457805633500001</v>
      </c>
      <c r="I16" s="100">
        <v>53.447723388699998</v>
      </c>
      <c r="J16" s="100">
        <v>49.686622619600001</v>
      </c>
      <c r="K16" s="100">
        <v>52.197074890099998</v>
      </c>
      <c r="L16" s="100">
        <v>57.370185852100001</v>
      </c>
    </row>
    <row r="17" spans="1:12" ht="16.149999999999999" customHeight="1" x14ac:dyDescent="0.25">
      <c r="A17" s="109">
        <f>MAX($A14:$L14)+1</f>
        <v>45</v>
      </c>
      <c r="B17" s="110">
        <f>A17+1</f>
        <v>46</v>
      </c>
      <c r="C17" s="110">
        <f t="shared" ref="C17:L17" si="5">B17+1</f>
        <v>47</v>
      </c>
      <c r="D17" s="110">
        <f t="shared" si="5"/>
        <v>48</v>
      </c>
      <c r="E17" s="110">
        <f t="shared" si="5"/>
        <v>49</v>
      </c>
      <c r="F17" s="110">
        <f t="shared" si="5"/>
        <v>50</v>
      </c>
      <c r="G17" s="110">
        <f t="shared" si="5"/>
        <v>51</v>
      </c>
      <c r="H17" s="110">
        <f t="shared" si="5"/>
        <v>52</v>
      </c>
      <c r="I17" s="110">
        <f t="shared" si="5"/>
        <v>53</v>
      </c>
      <c r="J17" s="110">
        <f t="shared" si="5"/>
        <v>54</v>
      </c>
      <c r="K17" s="110">
        <f t="shared" si="5"/>
        <v>55</v>
      </c>
      <c r="L17" s="110">
        <f t="shared" si="5"/>
        <v>56</v>
      </c>
    </row>
    <row r="18" spans="1:12" ht="16.149999999999999" customHeight="1" thickBot="1" x14ac:dyDescent="0.3">
      <c r="A18" s="120" cm="1">
        <f t="array" aca="1" ref="A18:L18" ca="1">TRANSPOSE(INDIRECT(SUBSTITUTE(MID(_xlfn.FORMULATEXT(A16),SEARCH("(",_xlfn.FORMULATEXT(A16))+1,LEN(_xlfn.FORMULATEXT(A16))-12),"B","C"),TRUE))</f>
        <v>49.248527526899998</v>
      </c>
      <c r="B18" s="101">
        <f ca="1"/>
        <v>52.818466186499997</v>
      </c>
      <c r="C18" s="101">
        <f ca="1"/>
        <v>56.780887603799997</v>
      </c>
      <c r="D18" s="101">
        <f ca="1"/>
        <v>55.569911956799999</v>
      </c>
      <c r="E18" s="101">
        <f ca="1"/>
        <v>56.151081085199998</v>
      </c>
      <c r="F18" s="101">
        <f ca="1"/>
        <v>9.59634780884E-2</v>
      </c>
      <c r="G18" s="101">
        <f ca="1"/>
        <v>57.471130371100003</v>
      </c>
      <c r="H18" s="101">
        <f ca="1"/>
        <v>58.746505737299998</v>
      </c>
      <c r="I18" s="101">
        <f ca="1"/>
        <v>59.026432037399999</v>
      </c>
      <c r="J18" s="101">
        <f ca="1"/>
        <v>53.209949493400003</v>
      </c>
      <c r="K18" s="101">
        <f ca="1"/>
        <v>51.2733917236</v>
      </c>
      <c r="L18" s="101">
        <f ca="1"/>
        <v>56.2555084229</v>
      </c>
    </row>
    <row r="19" spans="1:12" ht="16.149999999999999" customHeight="1" x14ac:dyDescent="0.25">
      <c r="A19" s="103"/>
      <c r="B19" s="100" cm="1">
        <f t="array" ref="B19:K19">TRANSPOSE(KDF_data!B59:B68)</f>
        <v>58.407234191900002</v>
      </c>
      <c r="C19" s="100">
        <v>57.0726165771</v>
      </c>
      <c r="D19" s="100">
        <v>51.3203125</v>
      </c>
      <c r="E19" s="100">
        <v>33.286643981899999</v>
      </c>
      <c r="F19" s="100">
        <v>56.603790283199999</v>
      </c>
      <c r="G19" s="100">
        <v>10.660672187799999</v>
      </c>
      <c r="H19" s="100">
        <v>56.408645629900001</v>
      </c>
      <c r="I19" s="100">
        <v>52.041267394999998</v>
      </c>
      <c r="J19" s="100">
        <v>51.428676605200003</v>
      </c>
      <c r="K19" s="100">
        <v>55.601547241200002</v>
      </c>
      <c r="L19" s="103"/>
    </row>
    <row r="20" spans="1:12" ht="16.149999999999999" customHeight="1" x14ac:dyDescent="0.25">
      <c r="A20" s="103"/>
      <c r="B20" s="109">
        <f>MAX($A17:$L17)+1</f>
        <v>57</v>
      </c>
      <c r="C20" s="110">
        <f>B20+1</f>
        <v>58</v>
      </c>
      <c r="D20" s="110">
        <f t="shared" ref="D20:K20" si="6">C20+1</f>
        <v>59</v>
      </c>
      <c r="E20" s="110">
        <f t="shared" si="6"/>
        <v>60</v>
      </c>
      <c r="F20" s="110">
        <f t="shared" si="6"/>
        <v>61</v>
      </c>
      <c r="G20" s="110">
        <f t="shared" si="6"/>
        <v>62</v>
      </c>
      <c r="H20" s="110">
        <f t="shared" si="6"/>
        <v>63</v>
      </c>
      <c r="I20" s="110">
        <f t="shared" si="6"/>
        <v>64</v>
      </c>
      <c r="J20" s="110">
        <f t="shared" si="6"/>
        <v>65</v>
      </c>
      <c r="K20" s="110">
        <f t="shared" si="6"/>
        <v>66</v>
      </c>
      <c r="L20" s="103"/>
    </row>
    <row r="21" spans="1:12" ht="16.149999999999999" customHeight="1" thickBot="1" x14ac:dyDescent="0.3">
      <c r="A21" s="103"/>
      <c r="B21" s="120" cm="1">
        <f t="array" aca="1" ref="B21:K21" ca="1">TRANSPOSE(INDIRECT(SUBSTITUTE(MID(_xlfn.FORMULATEXT(B19),SEARCH("(",_xlfn.FORMULATEXT(B19))+1,LEN(_xlfn.FORMULATEXT(B19))-12),"B","C"),TRUE))</f>
        <v>3.6787033081099998</v>
      </c>
      <c r="C21" s="101">
        <f ca="1"/>
        <v>57.0216674805</v>
      </c>
      <c r="D21" s="101">
        <f ca="1"/>
        <v>56.011318206799999</v>
      </c>
      <c r="E21" s="101">
        <f ca="1"/>
        <v>56.116889953600001</v>
      </c>
      <c r="F21" s="101">
        <f ca="1"/>
        <v>57.320499420200001</v>
      </c>
      <c r="G21" s="101">
        <f ca="1"/>
        <v>58.812950134300003</v>
      </c>
      <c r="H21" s="101">
        <f ca="1"/>
        <v>58.839775085399999</v>
      </c>
      <c r="I21" s="101">
        <f ca="1"/>
        <v>53.586982727100001</v>
      </c>
      <c r="J21" s="101">
        <f ca="1"/>
        <v>51.867771148700001</v>
      </c>
      <c r="K21" s="101">
        <f ca="1"/>
        <v>57.570480346700002</v>
      </c>
      <c r="L21" s="103"/>
    </row>
    <row r="22" spans="1:12" ht="16.149999999999999" customHeight="1" x14ac:dyDescent="0.25">
      <c r="A22" s="103"/>
      <c r="B22" s="100" cm="1">
        <f t="array" ref="B22:K22">TRANSPOSE(KDF_data!B69:B78)</f>
        <v>57.351375579799999</v>
      </c>
      <c r="C22" s="100">
        <v>56.703353881799998</v>
      </c>
      <c r="D22" s="100">
        <v>57.401062011699999</v>
      </c>
      <c r="E22" s="100">
        <v>57.098556518599999</v>
      </c>
      <c r="F22" s="100">
        <v>57.751846313500003</v>
      </c>
      <c r="G22" s="100">
        <v>57.665325164800002</v>
      </c>
      <c r="H22" s="100">
        <v>57.620429992699997</v>
      </c>
      <c r="I22" s="100">
        <v>54.333900451700003</v>
      </c>
      <c r="J22" s="100">
        <v>52.816154480000002</v>
      </c>
      <c r="K22" s="100">
        <v>56.010437011699999</v>
      </c>
      <c r="L22" s="103"/>
    </row>
    <row r="23" spans="1:12" ht="16.149999999999999" customHeight="1" x14ac:dyDescent="0.25">
      <c r="A23" s="103"/>
      <c r="B23" s="109">
        <f>MAX($A20:$L20)+1</f>
        <v>67</v>
      </c>
      <c r="C23" s="110">
        <f>B23+1</f>
        <v>68</v>
      </c>
      <c r="D23" s="110">
        <f t="shared" ref="D23:K23" si="7">C23+1</f>
        <v>69</v>
      </c>
      <c r="E23" s="110">
        <f t="shared" si="7"/>
        <v>70</v>
      </c>
      <c r="F23" s="110">
        <f t="shared" si="7"/>
        <v>71</v>
      </c>
      <c r="G23" s="110">
        <f t="shared" si="7"/>
        <v>72</v>
      </c>
      <c r="H23" s="110">
        <f t="shared" si="7"/>
        <v>73</v>
      </c>
      <c r="I23" s="110">
        <f t="shared" si="7"/>
        <v>74</v>
      </c>
      <c r="J23" s="110">
        <f t="shared" si="7"/>
        <v>75</v>
      </c>
      <c r="K23" s="110">
        <f t="shared" si="7"/>
        <v>76</v>
      </c>
      <c r="L23" s="103"/>
    </row>
    <row r="24" spans="1:12" ht="16.149999999999999" customHeight="1" thickBot="1" x14ac:dyDescent="0.3">
      <c r="A24" s="103"/>
      <c r="B24" s="120" cm="1">
        <f t="array" aca="1" ref="B24:K24" ca="1">TRANSPOSE(INDIRECT(SUBSTITUTE(MID(_xlfn.FORMULATEXT(B22),SEARCH("(",_xlfn.FORMULATEXT(B22))+1,LEN(_xlfn.FORMULATEXT(B22))-12),"B","C"),TRUE))</f>
        <v>57.074691772500003</v>
      </c>
      <c r="C24" s="101">
        <f ca="1"/>
        <v>57.8838348389</v>
      </c>
      <c r="D24" s="101">
        <f ca="1"/>
        <v>57.862972259499998</v>
      </c>
      <c r="E24" s="101">
        <f ca="1"/>
        <v>57.956741332999997</v>
      </c>
      <c r="F24" s="101">
        <f ca="1"/>
        <v>55.610298156699997</v>
      </c>
      <c r="G24" s="101">
        <f ca="1"/>
        <v>58.818649292000003</v>
      </c>
      <c r="H24" s="101">
        <f ca="1"/>
        <v>57.769489288300001</v>
      </c>
      <c r="I24" s="101">
        <f ca="1"/>
        <v>1.2235403060900001</v>
      </c>
      <c r="J24" s="101">
        <f ca="1"/>
        <v>15.554428100599999</v>
      </c>
      <c r="K24" s="101">
        <f ca="1"/>
        <v>57.912635803199997</v>
      </c>
      <c r="L24" s="103"/>
    </row>
    <row r="25" spans="1:12" ht="16.149999999999999" customHeight="1" x14ac:dyDescent="0.25">
      <c r="A25" s="103"/>
      <c r="B25" s="106"/>
      <c r="C25" s="100" cm="1">
        <f t="array" ref="C25:J25">TRANSPOSE(KDF_data!B79:B86)</f>
        <v>57.682464599600003</v>
      </c>
      <c r="D25" s="100">
        <v>58.2031478882</v>
      </c>
      <c r="E25" s="100">
        <v>57.726333618200002</v>
      </c>
      <c r="F25" s="100">
        <v>57.680679321299998</v>
      </c>
      <c r="G25" s="100">
        <v>58.382247924799998</v>
      </c>
      <c r="H25" s="100">
        <v>57.333946228000002</v>
      </c>
      <c r="I25" s="100">
        <v>52.699684143100001</v>
      </c>
      <c r="J25" s="100">
        <v>0.69169998168900004</v>
      </c>
      <c r="K25" s="106"/>
      <c r="L25" s="103"/>
    </row>
    <row r="26" spans="1:12" ht="16.149999999999999" customHeight="1" x14ac:dyDescent="0.25">
      <c r="A26" s="103"/>
      <c r="B26" s="106"/>
      <c r="C26" s="109">
        <f>MAX($A23:$L23)+1</f>
        <v>77</v>
      </c>
      <c r="D26" s="110">
        <f>C26+1</f>
        <v>78</v>
      </c>
      <c r="E26" s="110">
        <f t="shared" ref="E26:J26" si="8">D26+1</f>
        <v>79</v>
      </c>
      <c r="F26" s="110">
        <f t="shared" si="8"/>
        <v>80</v>
      </c>
      <c r="G26" s="110">
        <f t="shared" si="8"/>
        <v>81</v>
      </c>
      <c r="H26" s="110">
        <f t="shared" si="8"/>
        <v>82</v>
      </c>
      <c r="I26" s="110">
        <f t="shared" si="8"/>
        <v>83</v>
      </c>
      <c r="J26" s="110">
        <f t="shared" si="8"/>
        <v>84</v>
      </c>
      <c r="K26" s="106"/>
      <c r="L26" s="103"/>
    </row>
    <row r="27" spans="1:12" ht="16.149999999999999" customHeight="1" thickBot="1" x14ac:dyDescent="0.3">
      <c r="A27" s="103"/>
      <c r="B27" s="106"/>
      <c r="C27" s="120" cm="1">
        <f t="array" aca="1" ref="C27:J27" ca="1">TRANSPOSE(INDIRECT(SUBSTITUTE(MID(_xlfn.FORMULATEXT(C25),SEARCH("(",_xlfn.FORMULATEXT(C25))+1,LEN(_xlfn.FORMULATEXT(C25))-12),"B","C"),TRUE))</f>
        <v>58.839298248299997</v>
      </c>
      <c r="D27" s="101">
        <f ca="1"/>
        <v>8.7308883667000001E-2</v>
      </c>
      <c r="E27" s="101">
        <f ca="1"/>
        <v>58.830619812000002</v>
      </c>
      <c r="F27" s="101">
        <f ca="1"/>
        <v>58.776927948000001</v>
      </c>
      <c r="G27" s="101">
        <f ca="1"/>
        <v>57.9579849243</v>
      </c>
      <c r="H27" s="101">
        <f ca="1"/>
        <v>52.9849777222</v>
      </c>
      <c r="I27" s="101">
        <f ca="1"/>
        <v>54.357170105000002</v>
      </c>
      <c r="J27" s="101">
        <f ca="1"/>
        <v>3.66451740265</v>
      </c>
      <c r="K27" s="106"/>
      <c r="L27" s="103"/>
    </row>
    <row r="28" spans="1:12" ht="16.149999999999999" customHeight="1" x14ac:dyDescent="0.25">
      <c r="A28" s="103"/>
      <c r="B28" s="116"/>
      <c r="C28" s="106"/>
      <c r="D28" s="117"/>
      <c r="E28" s="100" cm="1">
        <f t="array" ref="E28:H28">TRANSPOSE(KDF_data!B87:B90)</f>
        <v>56.568908691399997</v>
      </c>
      <c r="F28" s="100">
        <v>55.476093292199998</v>
      </c>
      <c r="G28" s="100">
        <v>56.663894653299998</v>
      </c>
      <c r="H28" s="100">
        <v>56.4687271118</v>
      </c>
      <c r="I28" s="115"/>
      <c r="J28" s="106"/>
      <c r="K28" s="114"/>
      <c r="L28" s="103"/>
    </row>
    <row r="29" spans="1:12" ht="16.149999999999999" customHeight="1" x14ac:dyDescent="0.25">
      <c r="A29" s="102"/>
      <c r="B29" s="104"/>
      <c r="C29" s="106"/>
      <c r="D29" s="107"/>
      <c r="E29" s="109">
        <f>MAX($A26:$L26)+1</f>
        <v>85</v>
      </c>
      <c r="F29" s="110">
        <f>E29+1</f>
        <v>86</v>
      </c>
      <c r="G29" s="110">
        <f t="shared" ref="G29:H29" si="9">F29+1</f>
        <v>87</v>
      </c>
      <c r="H29" s="110">
        <f t="shared" si="9"/>
        <v>88</v>
      </c>
      <c r="I29" s="111"/>
      <c r="J29" s="106"/>
      <c r="K29" s="102"/>
      <c r="L29" s="104"/>
    </row>
    <row r="30" spans="1:12" ht="16.149999999999999" customHeight="1" thickBot="1" x14ac:dyDescent="0.3">
      <c r="A30" s="102"/>
      <c r="B30" s="104"/>
      <c r="C30" s="106"/>
      <c r="D30" s="107"/>
      <c r="E30" s="120" cm="1">
        <f t="array" aca="1" ref="E30:H30" ca="1">TRANSPOSE(INDIRECT(SUBSTITUTE(MID(_xlfn.FORMULATEXT(E28),SEARCH("(",_xlfn.FORMULATEXT(E28))+1,LEN(_xlfn.FORMULATEXT(E28))-12),"B","C"),TRUE))</f>
        <v>58.037544250499998</v>
      </c>
      <c r="F30" s="101">
        <f ca="1"/>
        <v>57.633735656699997</v>
      </c>
      <c r="G30" s="101">
        <f ca="1"/>
        <v>56.185485839800002</v>
      </c>
      <c r="H30" s="101">
        <f ca="1"/>
        <v>52.332210540799998</v>
      </c>
      <c r="I30" s="111"/>
      <c r="J30" s="106"/>
      <c r="K30" s="102"/>
      <c r="L30" s="10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150mm</vt:lpstr>
      <vt:lpstr>WaferFliped_Btm-Probe</vt:lpstr>
      <vt:lpstr>KDF_data</vt:lpstr>
      <vt:lpstr>Combining</vt:lpstr>
      <vt:lpstr>SemeFAB_Wafer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Templeton</dc:creator>
  <cp:lastModifiedBy>Joe Templeton</cp:lastModifiedBy>
  <dcterms:created xsi:type="dcterms:W3CDTF">2023-05-01T20:14:56Z</dcterms:created>
  <dcterms:modified xsi:type="dcterms:W3CDTF">2024-07-17T20:16:34Z</dcterms:modified>
</cp:coreProperties>
</file>